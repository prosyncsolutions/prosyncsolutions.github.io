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Raw Export" sheetId="2" state="visible" r:id="rId4"/>
    <sheet name="Categorized" sheetId="3" state="visible" r:id="rId5"/>
    <sheet name="Category Rules" sheetId="4" state="visible" r:id="rId6"/>
  </sheets>
  <definedNames>
    <definedName function="false" hidden="true" localSheetId="2" name="_xlnm._FilterDatabase" vbProcedure="false">Categorized!$A$1:$J$321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<sst xmlns="http://schemas.openxmlformats.org/spreadsheetml/2006/main" count="3636" uniqueCount="866">
  <si>
    <t xml:space="preserve">Purchase Summary by Category</t>
  </si>
  <si>
    <t xml:space="preserve">Sample project - fictional data. All figures are live formulas over the Categorized sheet.</t>
  </si>
  <si>
    <t xml:space="preserve">Category</t>
  </si>
  <si>
    <t xml:space="preserve">Orders</t>
  </si>
  <si>
    <t xml:space="preserve">Units</t>
  </si>
  <si>
    <t xml:space="preserve">Revenue</t>
  </si>
  <si>
    <t xml:space="preserve">Avg Order Value</t>
  </si>
  <si>
    <t xml:space="preserve">% of Revenue</t>
  </si>
  <si>
    <t xml:space="preserve">Electronics</t>
  </si>
  <si>
    <t xml:space="preserve">Home &amp; Kitchen</t>
  </si>
  <si>
    <t xml:space="preserve">Fitness</t>
  </si>
  <si>
    <t xml:space="preserve">Clothing</t>
  </si>
  <si>
    <t xml:space="preserve">Beauty</t>
  </si>
  <si>
    <t xml:space="preserve">Pet Supplies</t>
  </si>
  <si>
    <t xml:space="preserve">Uncategorized</t>
  </si>
  <si>
    <t xml:space="preserve">Total</t>
  </si>
  <si>
    <t xml:space="preserve">Revenue by Region</t>
  </si>
  <si>
    <t xml:space="preserve">North</t>
  </si>
  <si>
    <t xml:space="preserve">South</t>
  </si>
  <si>
    <t xml:space="preserve">East</t>
  </si>
  <si>
    <t xml:space="preserve">West</t>
  </si>
  <si>
    <t xml:space="preserve">order_id</t>
  </si>
  <si>
    <t xml:space="preserve">date</t>
  </si>
  <si>
    <t xml:space="preserve">customer</t>
  </si>
  <si>
    <t xml:space="preserve">item</t>
  </si>
  <si>
    <t xml:space="preserve">qty</t>
  </si>
  <si>
    <t xml:space="preserve">price</t>
  </si>
  <si>
    <t xml:space="preserve">region</t>
  </si>
  <si>
    <t xml:space="preserve">ORD-5305</t>
  </si>
  <si>
    <t xml:space="preserve">10 Jun 2026</t>
  </si>
  <si>
    <t xml:space="preserve">Lily Fischer</t>
  </si>
  <si>
    <t xml:space="preserve">POWER BANK 10000MAH</t>
  </si>
  <si>
    <t xml:space="preserve">$27.99</t>
  </si>
  <si>
    <t xml:space="preserve">ORD-5034</t>
  </si>
  <si>
    <t xml:space="preserve">2026-08-01</t>
  </si>
  <si>
    <t xml:space="preserve">Chloe Fischer</t>
  </si>
  <si>
    <t xml:space="preserve">Baseball Cap</t>
  </si>
  <si>
    <t xml:space="preserve">$13.50</t>
  </si>
  <si>
    <t xml:space="preserve">ORD-5068</t>
  </si>
  <si>
    <t xml:space="preserve">21 Sep 2026</t>
  </si>
  <si>
    <t xml:space="preserve">Emma Mokoena</t>
  </si>
  <si>
    <t xml:space="preserve">hand blender</t>
  </si>
  <si>
    <t xml:space="preserve">45.00</t>
  </si>
  <si>
    <t xml:space="preserve">ORD-5278</t>
  </si>
  <si>
    <t xml:space="preserve">20/09/2026</t>
  </si>
  <si>
    <t xml:space="preserve">Thandi Santos</t>
  </si>
  <si>
    <t xml:space="preserve">HDMI Cable 2m</t>
  </si>
  <si>
    <t xml:space="preserve">$9.99</t>
  </si>
  <si>
    <t xml:space="preserve">ORD-5031</t>
  </si>
  <si>
    <t xml:space="preserve">2026-05-12</t>
  </si>
  <si>
    <t xml:space="preserve">Chloe Carter</t>
  </si>
  <si>
    <t xml:space="preserve">ceramic mug set</t>
  </si>
  <si>
    <t xml:space="preserve">USD 22.00</t>
  </si>
  <si>
    <t xml:space="preserve">ORD-5299</t>
  </si>
  <si>
    <t xml:space="preserve">02 Jun 2026</t>
  </si>
  <si>
    <t xml:space="preserve">Ava Hughes</t>
  </si>
  <si>
    <t xml:space="preserve">Resistance Band Set</t>
  </si>
  <si>
    <t xml:space="preserve">$15.99</t>
  </si>
  <si>
    <t xml:space="preserve">ORD-5057</t>
  </si>
  <si>
    <t xml:space="preserve">27 May 2026</t>
  </si>
  <si>
    <t xml:space="preserve">Zoe Mokoena</t>
  </si>
  <si>
    <t xml:space="preserve">usb-c charger 30w</t>
  </si>
  <si>
    <t xml:space="preserve">USD 18.50</t>
  </si>
  <si>
    <t xml:space="preserve">ORD-5217</t>
  </si>
  <si>
    <t xml:space="preserve">03 Jun 2026</t>
  </si>
  <si>
    <t xml:space="preserve">Ethan Khumalo</t>
  </si>
  <si>
    <t xml:space="preserve">hdmi cable 2m</t>
  </si>
  <si>
    <t xml:space="preserve">9.99</t>
  </si>
  <si>
    <t xml:space="preserve">ORD-5275</t>
  </si>
  <si>
    <t xml:space="preserve">20 Aug 2026</t>
  </si>
  <si>
    <t xml:space="preserve">Thandi Carter</t>
  </si>
  <si>
    <t xml:space="preserve">13.50</t>
  </si>
  <si>
    <t xml:space="preserve">ORD-5005</t>
  </si>
  <si>
    <t xml:space="preserve">2026-09-12</t>
  </si>
  <si>
    <t xml:space="preserve">Chloe Hughes</t>
  </si>
  <si>
    <t xml:space="preserve">non-stick frying pan</t>
  </si>
  <si>
    <t xml:space="preserve">USD 28.00</t>
  </si>
  <si>
    <t xml:space="preserve">ORD-5118</t>
  </si>
  <si>
    <t xml:space="preserve">29 Sep 2026</t>
  </si>
  <si>
    <t xml:space="preserve">Ravi Patel</t>
  </si>
  <si>
    <t xml:space="preserve">Power Bank 10000mAh</t>
  </si>
  <si>
    <t xml:space="preserve">USD 27.99</t>
  </si>
  <si>
    <t xml:space="preserve">ORD-5304</t>
  </si>
  <si>
    <t xml:space="preserve">Liam Hughes</t>
  </si>
  <si>
    <t xml:space="preserve">Non-stick Frying Pan</t>
  </si>
  <si>
    <t xml:space="preserve">28.00</t>
  </si>
  <si>
    <t xml:space="preserve">ORD-5115</t>
  </si>
  <si>
    <t xml:space="preserve">2026-08-31</t>
  </si>
  <si>
    <t xml:space="preserve">Zip Hoodie</t>
  </si>
  <si>
    <t xml:space="preserve">USD 44.00</t>
  </si>
  <si>
    <t xml:space="preserve">ORD-5220</t>
  </si>
  <si>
    <t xml:space="preserve">22/04/2026</t>
  </si>
  <si>
    <t xml:space="preserve">Ben Carter</t>
  </si>
  <si>
    <t xml:space="preserve">Steel Water Bottle 750ml</t>
  </si>
  <si>
    <t xml:space="preserve">USD 17.00</t>
  </si>
  <si>
    <t xml:space="preserve">ORD-5137</t>
  </si>
  <si>
    <t xml:space="preserve">2026-06-28</t>
  </si>
  <si>
    <t xml:space="preserve">Skipping Rope</t>
  </si>
  <si>
    <t xml:space="preserve">8.99</t>
  </si>
  <si>
    <t xml:space="preserve">ORD-5155</t>
  </si>
  <si>
    <t xml:space="preserve">08 Apr 2026</t>
  </si>
  <si>
    <t xml:space="preserve">Noah Khumalo</t>
  </si>
  <si>
    <t xml:space="preserve">Lip Balm Trio</t>
  </si>
  <si>
    <t xml:space="preserve">7.50</t>
  </si>
  <si>
    <t xml:space="preserve">ORD-5103</t>
  </si>
  <si>
    <t xml:space="preserve">14 Apr 2026</t>
  </si>
  <si>
    <t xml:space="preserve">Liam Meyer</t>
  </si>
  <si>
    <t xml:space="preserve">USD 45.00</t>
  </si>
  <si>
    <t xml:space="preserve">ORD-5239</t>
  </si>
  <si>
    <t xml:space="preserve">Chloe Patel</t>
  </si>
  <si>
    <t xml:space="preserve">Sunscreen SPF50</t>
  </si>
  <si>
    <t xml:space="preserve">$14.00</t>
  </si>
  <si>
    <t xml:space="preserve">ORD-5261</t>
  </si>
  <si>
    <t xml:space="preserve">2026-08-21</t>
  </si>
  <si>
    <t xml:space="preserve">Sipho Mokoena</t>
  </si>
  <si>
    <t xml:space="preserve">USD 14.00</t>
  </si>
  <si>
    <t xml:space="preserve">ORD-5120</t>
  </si>
  <si>
    <t xml:space="preserve">2026-08-26</t>
  </si>
  <si>
    <t xml:space="preserve">Emma Patel</t>
  </si>
  <si>
    <t xml:space="preserve">gym leggings</t>
  </si>
  <si>
    <t xml:space="preserve">$29.00</t>
  </si>
  <si>
    <t xml:space="preserve">ORD-5294</t>
  </si>
  <si>
    <t xml:space="preserve">2026-05-01</t>
  </si>
  <si>
    <t xml:space="preserve">Ben Brooks</t>
  </si>
  <si>
    <t xml:space="preserve">ANKLE SOCKS 5PK</t>
  </si>
  <si>
    <t xml:space="preserve">USD 11.00</t>
  </si>
  <si>
    <t xml:space="preserve">ORD-5208</t>
  </si>
  <si>
    <t xml:space="preserve">13 May 2026</t>
  </si>
  <si>
    <t xml:space="preserve">Emma Santos</t>
  </si>
  <si>
    <t xml:space="preserve">Pet Grooming Brush</t>
  </si>
  <si>
    <t xml:space="preserve">$11.99</t>
  </si>
  <si>
    <t xml:space="preserve">ORD-5175</t>
  </si>
  <si>
    <t xml:space="preserve">2026-05-18</t>
  </si>
  <si>
    <t xml:space="preserve">Ruby Hughes</t>
  </si>
  <si>
    <t xml:space="preserve">  Power Bank 10000mAh </t>
  </si>
  <si>
    <t xml:space="preserve">ORD-5204</t>
  </si>
  <si>
    <t xml:space="preserve">26/09/2026</t>
  </si>
  <si>
    <t xml:space="preserve">Sipho Meyer</t>
  </si>
  <si>
    <t xml:space="preserve">EARBUDS SPORT</t>
  </si>
  <si>
    <t xml:space="preserve">USD 42.00</t>
  </si>
  <si>
    <t xml:space="preserve">ORD-5139</t>
  </si>
  <si>
    <t xml:space="preserve">11/04/2026</t>
  </si>
  <si>
    <t xml:space="preserve">Zoe Meyer</t>
  </si>
  <si>
    <t xml:space="preserve">HAND BLENDER</t>
  </si>
  <si>
    <t xml:space="preserve">ORD-5285</t>
  </si>
  <si>
    <t xml:space="preserve">2026-07-21</t>
  </si>
  <si>
    <t xml:space="preserve">reflective leash</t>
  </si>
  <si>
    <t xml:space="preserve">USD 15.00</t>
  </si>
  <si>
    <t xml:space="preserve">ORD-5193</t>
  </si>
  <si>
    <t xml:space="preserve">04 May 2026</t>
  </si>
  <si>
    <t xml:space="preserve">Ava Patel</t>
  </si>
  <si>
    <t xml:space="preserve">  Non-stick Frying Pan </t>
  </si>
  <si>
    <t xml:space="preserve">$28.00</t>
  </si>
  <si>
    <t xml:space="preserve">ORD-5158</t>
  </si>
  <si>
    <t xml:space="preserve">14 Jun 2026</t>
  </si>
  <si>
    <t xml:space="preserve">  Zip Hoodie </t>
  </si>
  <si>
    <t xml:space="preserve">$44.00</t>
  </si>
  <si>
    <t xml:space="preserve">ORD-5089</t>
  </si>
  <si>
    <t xml:space="preserve">2026-08-14</t>
  </si>
  <si>
    <t xml:space="preserve">Liam Carter</t>
  </si>
  <si>
    <t xml:space="preserve">rain jacket</t>
  </si>
  <si>
    <t xml:space="preserve">62.00</t>
  </si>
  <si>
    <t xml:space="preserve">ORD-5247</t>
  </si>
  <si>
    <t xml:space="preserve">2026-07-16</t>
  </si>
  <si>
    <t xml:space="preserve">Liam Mokoena</t>
  </si>
  <si>
    <t xml:space="preserve">baseball cap</t>
  </si>
  <si>
    <t xml:space="preserve">USD 13.50</t>
  </si>
  <si>
    <t xml:space="preserve">ORD-5087</t>
  </si>
  <si>
    <t xml:space="preserve">16 Sep 2026</t>
  </si>
  <si>
    <t xml:space="preserve">Leo Brooks</t>
  </si>
  <si>
    <t xml:space="preserve">Dumbbell Pair 5kg</t>
  </si>
  <si>
    <t xml:space="preserve">$36.00</t>
  </si>
  <si>
    <t xml:space="preserve">ORD-5317</t>
  </si>
  <si>
    <t xml:space="preserve">04/09/2026</t>
  </si>
  <si>
    <t xml:space="preserve">Lily Naidoo</t>
  </si>
  <si>
    <t xml:space="preserve">ORD-5043</t>
  </si>
  <si>
    <t xml:space="preserve">2026-05-27</t>
  </si>
  <si>
    <t xml:space="preserve">Argan Shampoo</t>
  </si>
  <si>
    <t xml:space="preserve">$13.00</t>
  </si>
  <si>
    <t xml:space="preserve">ORD-5004</t>
  </si>
  <si>
    <t xml:space="preserve">2026-06-10</t>
  </si>
  <si>
    <t xml:space="preserve">USD 9.99</t>
  </si>
  <si>
    <t xml:space="preserve">ORD-5276</t>
  </si>
  <si>
    <t xml:space="preserve">15 Aug 2026</t>
  </si>
  <si>
    <t xml:space="preserve">ORD-5085</t>
  </si>
  <si>
    <t xml:space="preserve">21/08/2026</t>
  </si>
  <si>
    <t xml:space="preserve">ORD-5047</t>
  </si>
  <si>
    <t xml:space="preserve">2026-06-18</t>
  </si>
  <si>
    <t xml:space="preserve">Ravi Santos</t>
  </si>
  <si>
    <t xml:space="preserve">DOG CHEW TOY</t>
  </si>
  <si>
    <t xml:space="preserve">USD 9.50</t>
  </si>
  <si>
    <t xml:space="preserve">ORD-5184</t>
  </si>
  <si>
    <t xml:space="preserve">18 Jul 2026</t>
  </si>
  <si>
    <t xml:space="preserve">36.00</t>
  </si>
  <si>
    <t xml:space="preserve">ORD-5125</t>
  </si>
  <si>
    <t xml:space="preserve">2026-08-13</t>
  </si>
  <si>
    <t xml:space="preserve">Leo Patel</t>
  </si>
  <si>
    <t xml:space="preserve">ORD-5092</t>
  </si>
  <si>
    <t xml:space="preserve">Gym Leggings</t>
  </si>
  <si>
    <t xml:space="preserve">ORD-5167</t>
  </si>
  <si>
    <t xml:space="preserve">30/04/2026</t>
  </si>
  <si>
    <t xml:space="preserve">YOGA MAT 6MM</t>
  </si>
  <si>
    <t xml:space="preserve">$24.99</t>
  </si>
  <si>
    <t xml:space="preserve">ORD-5227</t>
  </si>
  <si>
    <t xml:space="preserve">Chef Knife 8in</t>
  </si>
  <si>
    <t xml:space="preserve">$39.00</t>
  </si>
  <si>
    <t xml:space="preserve">ORD-5311</t>
  </si>
  <si>
    <t xml:space="preserve">30 Jun 2026</t>
  </si>
  <si>
    <t xml:space="preserve">ORD-5143</t>
  </si>
  <si>
    <t xml:space="preserve">07/05/2026</t>
  </si>
  <si>
    <t xml:space="preserve">24.99</t>
  </si>
  <si>
    <t xml:space="preserve">ORD-5042</t>
  </si>
  <si>
    <t xml:space="preserve">16/08/2026</t>
  </si>
  <si>
    <t xml:space="preserve">Yoga Mat 6mm</t>
  </si>
  <si>
    <t xml:space="preserve">ORD-5232</t>
  </si>
  <si>
    <t xml:space="preserve">2026-07-12</t>
  </si>
  <si>
    <t xml:space="preserve">Mystery Box</t>
  </si>
  <si>
    <t xml:space="preserve">USD 30.00</t>
  </si>
  <si>
    <t xml:space="preserve">ORD-5134</t>
  </si>
  <si>
    <t xml:space="preserve">25 Sep 2026</t>
  </si>
  <si>
    <t xml:space="preserve">USB-C Charger 30W</t>
  </si>
  <si>
    <t xml:space="preserve">$18.50</t>
  </si>
  <si>
    <t xml:space="preserve">ORD-5238</t>
  </si>
  <si>
    <t xml:space="preserve">13 Jun 2026</t>
  </si>
  <si>
    <t xml:space="preserve">ORD-5174</t>
  </si>
  <si>
    <t xml:space="preserve">27/07/2026</t>
  </si>
  <si>
    <t xml:space="preserve">ORD-5273</t>
  </si>
  <si>
    <t xml:space="preserve">23/09/2026</t>
  </si>
  <si>
    <t xml:space="preserve">Ben Naidoo</t>
  </si>
  <si>
    <t xml:space="preserve">Electric Kettle 1.7L</t>
  </si>
  <si>
    <t xml:space="preserve">$31.50</t>
  </si>
  <si>
    <t xml:space="preserve">ORD-5106</t>
  </si>
  <si>
    <t xml:space="preserve">06 Aug 2026</t>
  </si>
  <si>
    <t xml:space="preserve">Ethan Santos</t>
  </si>
  <si>
    <t xml:space="preserve">Wireless Headphones</t>
  </si>
  <si>
    <t xml:space="preserve">$59.99</t>
  </si>
  <si>
    <t xml:space="preserve">ORD-5258</t>
  </si>
  <si>
    <t xml:space="preserve">2026-08-08</t>
  </si>
  <si>
    <t xml:space="preserve">Chloe Meyer</t>
  </si>
  <si>
    <t xml:space="preserve">Cotton T-Shirt</t>
  </si>
  <si>
    <t xml:space="preserve">14.99</t>
  </si>
  <si>
    <t xml:space="preserve">ORD-5126</t>
  </si>
  <si>
    <t xml:space="preserve">2026-08-18</t>
  </si>
  <si>
    <t xml:space="preserve">Thandi Brooks</t>
  </si>
  <si>
    <t xml:space="preserve">FOAM ROLLER</t>
  </si>
  <si>
    <t xml:space="preserve">$21.00</t>
  </si>
  <si>
    <t xml:space="preserve">ORD-5063</t>
  </si>
  <si>
    <t xml:space="preserve">10 Aug 2026</t>
  </si>
  <si>
    <t xml:space="preserve">ORD-5048</t>
  </si>
  <si>
    <t xml:space="preserve">2026-09-13</t>
  </si>
  <si>
    <t xml:space="preserve">Lily Santos</t>
  </si>
  <si>
    <t xml:space="preserve">ORD-5309</t>
  </si>
  <si>
    <t xml:space="preserve">01 Sep 2026</t>
  </si>
  <si>
    <t xml:space="preserve">Lily Brooks</t>
  </si>
  <si>
    <t xml:space="preserve">ORD-5181</t>
  </si>
  <si>
    <t xml:space="preserve">15/04/2026</t>
  </si>
  <si>
    <t xml:space="preserve">Ruby Mokoena</t>
  </si>
  <si>
    <t xml:space="preserve">Hand Blender</t>
  </si>
  <si>
    <t xml:space="preserve">ORD-5090</t>
  </si>
  <si>
    <t xml:space="preserve">Ankle Socks 5pk</t>
  </si>
  <si>
    <t xml:space="preserve">$11.00</t>
  </si>
  <si>
    <t xml:space="preserve">ORD-5170</t>
  </si>
  <si>
    <t xml:space="preserve">12/06/2026</t>
  </si>
  <si>
    <t xml:space="preserve">ORD-5166</t>
  </si>
  <si>
    <t xml:space="preserve">2026-05-04</t>
  </si>
  <si>
    <t xml:space="preserve">ORD-5135</t>
  </si>
  <si>
    <t xml:space="preserve">2026-07-23</t>
  </si>
  <si>
    <t xml:space="preserve">Ruby Khumalo</t>
  </si>
  <si>
    <t xml:space="preserve">USD 14.99</t>
  </si>
  <si>
    <t xml:space="preserve">ORD-5088</t>
  </si>
  <si>
    <t xml:space="preserve">02 Aug 2026</t>
  </si>
  <si>
    <t xml:space="preserve">ORD-5061</t>
  </si>
  <si>
    <t xml:space="preserve">2026-04-14</t>
  </si>
  <si>
    <t xml:space="preserve">ORD-5201</t>
  </si>
  <si>
    <t xml:space="preserve">30 Sep 2026</t>
  </si>
  <si>
    <t xml:space="preserve">15.99</t>
  </si>
  <si>
    <t xml:space="preserve">ORD-5230</t>
  </si>
  <si>
    <t xml:space="preserve">30 May 2026</t>
  </si>
  <si>
    <t xml:space="preserve">ORD-5185</t>
  </si>
  <si>
    <t xml:space="preserve">08/08/2026</t>
  </si>
  <si>
    <t xml:space="preserve">ORD-5173</t>
  </si>
  <si>
    <t xml:space="preserve">12 Aug 2026</t>
  </si>
  <si>
    <t xml:space="preserve">Bluetooth Speaker Mini</t>
  </si>
  <si>
    <t xml:space="preserve">34.00</t>
  </si>
  <si>
    <t xml:space="preserve">ORD-5081</t>
  </si>
  <si>
    <t xml:space="preserve">13/04/2026</t>
  </si>
  <si>
    <t xml:space="preserve">ORD-5310</t>
  </si>
  <si>
    <t xml:space="preserve">ORD-5104</t>
  </si>
  <si>
    <t xml:space="preserve">2026-07-19</t>
  </si>
  <si>
    <t xml:space="preserve">Foam Roller</t>
  </si>
  <si>
    <t xml:space="preserve">USD 21.00</t>
  </si>
  <si>
    <t xml:space="preserve">ORD-5178</t>
  </si>
  <si>
    <t xml:space="preserve">2026-04-19</t>
  </si>
  <si>
    <t xml:space="preserve">ORD-5011</t>
  </si>
  <si>
    <t xml:space="preserve">09 Aug 2026</t>
  </si>
  <si>
    <t xml:space="preserve">Emma Brooks</t>
  </si>
  <si>
    <t xml:space="preserve">USD 24.99</t>
  </si>
  <si>
    <t xml:space="preserve">ORD-5203</t>
  </si>
  <si>
    <t xml:space="preserve">15/06/2026</t>
  </si>
  <si>
    <t xml:space="preserve">Rain Jacket</t>
  </si>
  <si>
    <t xml:space="preserve">ORD-5179</t>
  </si>
  <si>
    <t xml:space="preserve">Noah Patel</t>
  </si>
  <si>
    <t xml:space="preserve">Earbuds Sport</t>
  </si>
  <si>
    <t xml:space="preserve">42.00</t>
  </si>
  <si>
    <t xml:space="preserve">ORD-5260</t>
  </si>
  <si>
    <t xml:space="preserve">2026-06-21</t>
  </si>
  <si>
    <t xml:space="preserve">GYM LEGGINGS</t>
  </si>
  <si>
    <t xml:space="preserve">ORD-5177</t>
  </si>
  <si>
    <t xml:space="preserve">2026-04-27</t>
  </si>
  <si>
    <t xml:space="preserve">NON-STICK FRYING PAN</t>
  </si>
  <si>
    <t xml:space="preserve">ORD-5168</t>
  </si>
  <si>
    <t xml:space="preserve">2026-06-09</t>
  </si>
  <si>
    <t xml:space="preserve">Dog Chew Toy</t>
  </si>
  <si>
    <t xml:space="preserve">9.50</t>
  </si>
  <si>
    <t xml:space="preserve">ORD-5032</t>
  </si>
  <si>
    <t xml:space="preserve">01 Jul 2026</t>
  </si>
  <si>
    <t xml:space="preserve">ORD-5236</t>
  </si>
  <si>
    <t xml:space="preserve">2026-04-07</t>
  </si>
  <si>
    <t xml:space="preserve">ORD-5121</t>
  </si>
  <si>
    <t xml:space="preserve">ORD-5272</t>
  </si>
  <si>
    <t xml:space="preserve">2026-04-21</t>
  </si>
  <si>
    <t xml:space="preserve">bluetooth speaker mini</t>
  </si>
  <si>
    <t xml:space="preserve">ORD-5064</t>
  </si>
  <si>
    <t xml:space="preserve">17 Jun 2026</t>
  </si>
  <si>
    <t xml:space="preserve">earbuds sport</t>
  </si>
  <si>
    <t xml:space="preserve">$42.00</t>
  </si>
  <si>
    <t xml:space="preserve">ORD-5077</t>
  </si>
  <si>
    <t xml:space="preserve">15/05/2026</t>
  </si>
  <si>
    <t xml:space="preserve">USD 59.99</t>
  </si>
  <si>
    <t xml:space="preserve">ORD-5008</t>
  </si>
  <si>
    <t xml:space="preserve">22 May 2026</t>
  </si>
  <si>
    <t xml:space="preserve">Thandi Meyer</t>
  </si>
  <si>
    <t xml:space="preserve">ORD-5191</t>
  </si>
  <si>
    <t xml:space="preserve">Zoe Hughes</t>
  </si>
  <si>
    <t xml:space="preserve">ORD-5147</t>
  </si>
  <si>
    <t xml:space="preserve">ARGAN SHAMPOO</t>
  </si>
  <si>
    <t xml:space="preserve">ORD-5132</t>
  </si>
  <si>
    <t xml:space="preserve">16 Jun 2026</t>
  </si>
  <si>
    <t xml:space="preserve">Daily Moisturiser SPF15</t>
  </si>
  <si>
    <t xml:space="preserve">USD 16.50</t>
  </si>
  <si>
    <t xml:space="preserve">ORD-5145</t>
  </si>
  <si>
    <t xml:space="preserve">20/04/2026</t>
  </si>
  <si>
    <t xml:space="preserve">ORD-5099</t>
  </si>
  <si>
    <t xml:space="preserve">2026-06-27</t>
  </si>
  <si>
    <t xml:space="preserve">USD 39.00</t>
  </si>
  <si>
    <t xml:space="preserve">ORD-5140</t>
  </si>
  <si>
    <t xml:space="preserve">13 Sep 2026</t>
  </si>
  <si>
    <t xml:space="preserve">Ava Naidoo</t>
  </si>
  <si>
    <t xml:space="preserve">Daily Moisturizer SPF15</t>
  </si>
  <si>
    <t xml:space="preserve">ORD-5306</t>
  </si>
  <si>
    <t xml:space="preserve">13 Apr 2026</t>
  </si>
  <si>
    <t xml:space="preserve">21.00</t>
  </si>
  <si>
    <t xml:space="preserve">ORD-5146</t>
  </si>
  <si>
    <t xml:space="preserve">31 Aug 2026</t>
  </si>
  <si>
    <t xml:space="preserve">ORD-5041</t>
  </si>
  <si>
    <t xml:space="preserve">25/05/2026</t>
  </si>
  <si>
    <t xml:space="preserve">29.00</t>
  </si>
  <si>
    <t xml:space="preserve">ORD-5279</t>
  </si>
  <si>
    <t xml:space="preserve">2026-06-14</t>
  </si>
  <si>
    <t xml:space="preserve">BLUETOOTH SPEAKER MINI</t>
  </si>
  <si>
    <t xml:space="preserve">ORD-5098</t>
  </si>
  <si>
    <t xml:space="preserve">2026-05-08</t>
  </si>
  <si>
    <t xml:space="preserve">Ravi Meyer</t>
  </si>
  <si>
    <t xml:space="preserve">USD 13.00</t>
  </si>
  <si>
    <t xml:space="preserve">ORD-5023</t>
  </si>
  <si>
    <t xml:space="preserve">27 Jul 2026</t>
  </si>
  <si>
    <t xml:space="preserve">ORD-5202</t>
  </si>
  <si>
    <t xml:space="preserve">2026-06-24</t>
  </si>
  <si>
    <t xml:space="preserve">Ben Khumalo</t>
  </si>
  <si>
    <t xml:space="preserve">Clumping Litter 10L</t>
  </si>
  <si>
    <t xml:space="preserve">$12.00</t>
  </si>
  <si>
    <t xml:space="preserve">ORD-5082</t>
  </si>
  <si>
    <t xml:space="preserve">2026-09-05</t>
  </si>
  <si>
    <t xml:space="preserve">Vitamin C Serum</t>
  </si>
  <si>
    <t xml:space="preserve">USD 19.99</t>
  </si>
  <si>
    <t xml:space="preserve">ORD-5300</t>
  </si>
  <si>
    <t xml:space="preserve">12/07/2026</t>
  </si>
  <si>
    <t xml:space="preserve">Ceramic Mug Set</t>
  </si>
  <si>
    <t xml:space="preserve">ORD-5240</t>
  </si>
  <si>
    <t xml:space="preserve">14 May 2026</t>
  </si>
  <si>
    <t xml:space="preserve">ORD-5054</t>
  </si>
  <si>
    <t xml:space="preserve">23 Jun 2026</t>
  </si>
  <si>
    <t xml:space="preserve">Ruby Meyer</t>
  </si>
  <si>
    <t xml:space="preserve">$34.00</t>
  </si>
  <si>
    <t xml:space="preserve">ORD-5266</t>
  </si>
  <si>
    <t xml:space="preserve">12/04/2026</t>
  </si>
  <si>
    <t xml:space="preserve">Assorted Stickers</t>
  </si>
  <si>
    <t xml:space="preserve">$4.50</t>
  </si>
  <si>
    <t xml:space="preserve">ORD-5053</t>
  </si>
  <si>
    <t xml:space="preserve">2026-07-26</t>
  </si>
  <si>
    <t xml:space="preserve">  Earbuds Sport </t>
  </si>
  <si>
    <t xml:space="preserve">ORD-5318</t>
  </si>
  <si>
    <t xml:space="preserve">2026-08-24</t>
  </si>
  <si>
    <t xml:space="preserve">ORD-5235</t>
  </si>
  <si>
    <t xml:space="preserve">09/09/2026</t>
  </si>
  <si>
    <t xml:space="preserve">ORD-5107</t>
  </si>
  <si>
    <t xml:space="preserve">2026-06-06</t>
  </si>
  <si>
    <t xml:space="preserve">Scented Candle Vanilla</t>
  </si>
  <si>
    <t xml:space="preserve">12.50</t>
  </si>
  <si>
    <t xml:space="preserve">ORD-5083</t>
  </si>
  <si>
    <t xml:space="preserve">2026-07-22</t>
  </si>
  <si>
    <t xml:space="preserve">  Cotton T-Shirt </t>
  </si>
  <si>
    <t xml:space="preserve">ORD-5195</t>
  </si>
  <si>
    <t xml:space="preserve">26/07/2026</t>
  </si>
  <si>
    <t xml:space="preserve">ORD-5122</t>
  </si>
  <si>
    <t xml:space="preserve">24 May 2026</t>
  </si>
  <si>
    <t xml:space="preserve">ORD-5024</t>
  </si>
  <si>
    <t xml:space="preserve">09/04/2026</t>
  </si>
  <si>
    <t xml:space="preserve">USB-C CHARGER 30W</t>
  </si>
  <si>
    <t xml:space="preserve">ORD-5086</t>
  </si>
  <si>
    <t xml:space="preserve">21 Apr 2026</t>
  </si>
  <si>
    <t xml:space="preserve">ORD-5030</t>
  </si>
  <si>
    <t xml:space="preserve">2026-09-19</t>
  </si>
  <si>
    <t xml:space="preserve">ORD-5218</t>
  </si>
  <si>
    <t xml:space="preserve">2026-09-26</t>
  </si>
  <si>
    <t xml:space="preserve">$14.99</t>
  </si>
  <si>
    <t xml:space="preserve">ORD-5216</t>
  </si>
  <si>
    <t xml:space="preserve">19 Jul 2026</t>
  </si>
  <si>
    <t xml:space="preserve">ORD-5058</t>
  </si>
  <si>
    <t xml:space="preserve">ORD-5198</t>
  </si>
  <si>
    <t xml:space="preserve">13.00</t>
  </si>
  <si>
    <t xml:space="preserve">ORD-5223</t>
  </si>
  <si>
    <t xml:space="preserve">pet grooming brush</t>
  </si>
  <si>
    <t xml:space="preserve">ORD-5108</t>
  </si>
  <si>
    <t xml:space="preserve">14 Aug 2026</t>
  </si>
  <si>
    <t xml:space="preserve">Emma Khumalo</t>
  </si>
  <si>
    <t xml:space="preserve">ORD-5241</t>
  </si>
  <si>
    <t xml:space="preserve">15.00</t>
  </si>
  <si>
    <t xml:space="preserve">ORD-5025</t>
  </si>
  <si>
    <t xml:space="preserve">2026-07-25</t>
  </si>
  <si>
    <t xml:space="preserve">ORD-5211</t>
  </si>
  <si>
    <t xml:space="preserve">16/04/2026</t>
  </si>
  <si>
    <t xml:space="preserve">$45.00</t>
  </si>
  <si>
    <t xml:space="preserve">ORD-5046</t>
  </si>
  <si>
    <t xml:space="preserve">05 Jul 2026</t>
  </si>
  <si>
    <t xml:space="preserve">Noah Naidoo</t>
  </si>
  <si>
    <t xml:space="preserve">$19.99</t>
  </si>
  <si>
    <t xml:space="preserve">ORD-5102</t>
  </si>
  <si>
    <t xml:space="preserve">Ruby Fischer</t>
  </si>
  <si>
    <t xml:space="preserve">$22.00</t>
  </si>
  <si>
    <t xml:space="preserve">ORD-5249</t>
  </si>
  <si>
    <t xml:space="preserve">22 Jul 2026</t>
  </si>
  <si>
    <t xml:space="preserve">ORD-5070</t>
  </si>
  <si>
    <t xml:space="preserve">24/05/2026</t>
  </si>
  <si>
    <t xml:space="preserve">19.99</t>
  </si>
  <si>
    <t xml:space="preserve">ORD-5269</t>
  </si>
  <si>
    <t xml:space="preserve">26 May 2026</t>
  </si>
  <si>
    <t xml:space="preserve">ORD-5219</t>
  </si>
  <si>
    <t xml:space="preserve">25/07/2026</t>
  </si>
  <si>
    <t xml:space="preserve">  Hand Blender </t>
  </si>
  <si>
    <t xml:space="preserve">ORD-5319</t>
  </si>
  <si>
    <t xml:space="preserve">  Bluetooth Speaker Mini </t>
  </si>
  <si>
    <t xml:space="preserve">ORD-5100</t>
  </si>
  <si>
    <t xml:space="preserve">2026-04-11</t>
  </si>
  <si>
    <t xml:space="preserve">ORD-5110</t>
  </si>
  <si>
    <t xml:space="preserve">2026-05-22</t>
  </si>
  <si>
    <t xml:space="preserve">ORD-5157</t>
  </si>
  <si>
    <t xml:space="preserve">2026-08-27</t>
  </si>
  <si>
    <t xml:space="preserve">ORD-5079</t>
  </si>
  <si>
    <t xml:space="preserve">15 Jun 2026</t>
  </si>
  <si>
    <t xml:space="preserve">ORD-5072</t>
  </si>
  <si>
    <t xml:space="preserve">13/05/2026</t>
  </si>
  <si>
    <t xml:space="preserve">COTTON T-SHIRT</t>
  </si>
  <si>
    <t xml:space="preserve">ORD-5252</t>
  </si>
  <si>
    <t xml:space="preserve">11/06/2026</t>
  </si>
  <si>
    <t xml:space="preserve">$7.50</t>
  </si>
  <si>
    <t xml:space="preserve">ORD-5199</t>
  </si>
  <si>
    <t xml:space="preserve">22/05/2026</t>
  </si>
  <si>
    <t xml:space="preserve">USD 12.50</t>
  </si>
  <si>
    <t xml:space="preserve">ORD-5159</t>
  </si>
  <si>
    <t xml:space="preserve">10/06/2026</t>
  </si>
  <si>
    <t xml:space="preserve">ORD-5259</t>
  </si>
  <si>
    <t xml:space="preserve">30 Jul 2026</t>
  </si>
  <si>
    <t xml:space="preserve">USD 34.00</t>
  </si>
  <si>
    <t xml:space="preserve">ORD-5255</t>
  </si>
  <si>
    <t xml:space="preserve">28 Apr 2026</t>
  </si>
  <si>
    <t xml:space="preserve">RESISTANCE BAND SET</t>
  </si>
  <si>
    <t xml:space="preserve">ORD-5251</t>
  </si>
  <si>
    <t xml:space="preserve">31/05/2026</t>
  </si>
  <si>
    <t xml:space="preserve">ORD-5270</t>
  </si>
  <si>
    <t xml:space="preserve">2026-05-14</t>
  </si>
  <si>
    <t xml:space="preserve">scented candle vanilla</t>
  </si>
  <si>
    <t xml:space="preserve">$12.50</t>
  </si>
  <si>
    <t xml:space="preserve">ORD-5060</t>
  </si>
  <si>
    <t xml:space="preserve">12/05/2026</t>
  </si>
  <si>
    <t xml:space="preserve">$62.00</t>
  </si>
  <si>
    <t xml:space="preserve">ORD-5293</t>
  </si>
  <si>
    <t xml:space="preserve">vitamin c serum</t>
  </si>
  <si>
    <t xml:space="preserve">ORD-5153</t>
  </si>
  <si>
    <t xml:space="preserve">ORD-5028</t>
  </si>
  <si>
    <t xml:space="preserve">2026-09-16</t>
  </si>
  <si>
    <t xml:space="preserve">ORD-5315</t>
  </si>
  <si>
    <t xml:space="preserve">Zoe Naidoo</t>
  </si>
  <si>
    <t xml:space="preserve">ORD-5138</t>
  </si>
  <si>
    <t xml:space="preserve">2026-07-11</t>
  </si>
  <si>
    <t xml:space="preserve">ORD-5051</t>
  </si>
  <si>
    <t xml:space="preserve">19/08/2026</t>
  </si>
  <si>
    <t xml:space="preserve">ORD-5141</t>
  </si>
  <si>
    <t xml:space="preserve">07/06/2026</t>
  </si>
  <si>
    <t xml:space="preserve">CHEF KNIFE 8IN</t>
  </si>
  <si>
    <t xml:space="preserve">39.00</t>
  </si>
  <si>
    <t xml:space="preserve">ORD-5097</t>
  </si>
  <si>
    <t xml:space="preserve">2026-09-01</t>
  </si>
  <si>
    <t xml:space="preserve">  Sunscreen SPF50 </t>
  </si>
  <si>
    <t xml:space="preserve">14.00</t>
  </si>
  <si>
    <t xml:space="preserve">ORD-5111</t>
  </si>
  <si>
    <t xml:space="preserve">24 Apr 2026</t>
  </si>
  <si>
    <t xml:space="preserve">ORD-5262</t>
  </si>
  <si>
    <t xml:space="preserve">2026-05-10</t>
  </si>
  <si>
    <t xml:space="preserve">Sipho Hughes</t>
  </si>
  <si>
    <t xml:space="preserve">USD 11.99</t>
  </si>
  <si>
    <t xml:space="preserve">ORD-5314</t>
  </si>
  <si>
    <t xml:space="preserve">ORD-5095</t>
  </si>
  <si>
    <t xml:space="preserve">2026-09-21</t>
  </si>
  <si>
    <t xml:space="preserve">ORD-5149</t>
  </si>
  <si>
    <t xml:space="preserve">REFLECTIVE LEASH</t>
  </si>
  <si>
    <t xml:space="preserve">ORD-5094</t>
  </si>
  <si>
    <t xml:space="preserve">2026-05-30</t>
  </si>
  <si>
    <t xml:space="preserve">Ava Santos</t>
  </si>
  <si>
    <t xml:space="preserve">ORD-5154</t>
  </si>
  <si>
    <t xml:space="preserve">2026-06-03</t>
  </si>
  <si>
    <t xml:space="preserve">  USB-C Charger 30W </t>
  </si>
  <si>
    <t xml:space="preserve">18.50</t>
  </si>
  <si>
    <t xml:space="preserve">ORD-5221</t>
  </si>
  <si>
    <t xml:space="preserve">02/04/2026</t>
  </si>
  <si>
    <t xml:space="preserve">ORD-5295</t>
  </si>
  <si>
    <t xml:space="preserve">08/09/2026</t>
  </si>
  <si>
    <t xml:space="preserve">ORD-5162</t>
  </si>
  <si>
    <t xml:space="preserve">2026-04-08</t>
  </si>
  <si>
    <t xml:space="preserve">ORD-5267</t>
  </si>
  <si>
    <t xml:space="preserve">01/04/2026</t>
  </si>
  <si>
    <t xml:space="preserve">ORD-5113</t>
  </si>
  <si>
    <t xml:space="preserve">ORD-5056</t>
  </si>
  <si>
    <t xml:space="preserve">yoga mat 6mm</t>
  </si>
  <si>
    <t xml:space="preserve">ORD-5224</t>
  </si>
  <si>
    <t xml:space="preserve">ORD-5264</t>
  </si>
  <si>
    <t xml:space="preserve">05 May 2026</t>
  </si>
  <si>
    <t xml:space="preserve">ORD-5268</t>
  </si>
  <si>
    <t xml:space="preserve">2026-06-15</t>
  </si>
  <si>
    <t xml:space="preserve">USD 31.50</t>
  </si>
  <si>
    <t xml:space="preserve">ORD-5006</t>
  </si>
  <si>
    <t xml:space="preserve">59.99</t>
  </si>
  <si>
    <t xml:space="preserve">ORD-5160</t>
  </si>
  <si>
    <t xml:space="preserve">25/09/2026</t>
  </si>
  <si>
    <t xml:space="preserve">ORD-5188</t>
  </si>
  <si>
    <t xml:space="preserve">ORD-5076</t>
  </si>
  <si>
    <t xml:space="preserve">31.50</t>
  </si>
  <si>
    <t xml:space="preserve">ORD-5205</t>
  </si>
  <si>
    <t xml:space="preserve">29/09/2026</t>
  </si>
  <si>
    <t xml:space="preserve">Lily Hughes</t>
  </si>
  <si>
    <t xml:space="preserve">ORD-5052</t>
  </si>
  <si>
    <t xml:space="preserve">10 Sep 2026</t>
  </si>
  <si>
    <t xml:space="preserve">ORD-5038</t>
  </si>
  <si>
    <t xml:space="preserve">2026-04-22</t>
  </si>
  <si>
    <t xml:space="preserve">  Ankle Socks 5pk </t>
  </si>
  <si>
    <t xml:space="preserve">ORD-5257</t>
  </si>
  <si>
    <t xml:space="preserve">24 Jun 2026</t>
  </si>
  <si>
    <t xml:space="preserve">ORD-5187</t>
  </si>
  <si>
    <t xml:space="preserve">21 Aug 2026</t>
  </si>
  <si>
    <t xml:space="preserve">ORD-5194</t>
  </si>
  <si>
    <t xml:space="preserve">SCENTED CANDLE VANILLA</t>
  </si>
  <si>
    <t xml:space="preserve">ORD-5037</t>
  </si>
  <si>
    <t xml:space="preserve">07/08/2026</t>
  </si>
  <si>
    <t xml:space="preserve">ORD-5245</t>
  </si>
  <si>
    <t xml:space="preserve">30/05/2026</t>
  </si>
  <si>
    <t xml:space="preserve">lip balm trio</t>
  </si>
  <si>
    <t xml:space="preserve">ORD-5059</t>
  </si>
  <si>
    <t xml:space="preserve">2026-08-02</t>
  </si>
  <si>
    <t xml:space="preserve">ORD-5127</t>
  </si>
  <si>
    <t xml:space="preserve">2026-06-12</t>
  </si>
  <si>
    <t xml:space="preserve">  Ceramic Mug Set </t>
  </si>
  <si>
    <t xml:space="preserve">ORD-5274</t>
  </si>
  <si>
    <t xml:space="preserve">09/08/2026</t>
  </si>
  <si>
    <t xml:space="preserve">ORD-5071</t>
  </si>
  <si>
    <t xml:space="preserve">07 Jul 2026</t>
  </si>
  <si>
    <t xml:space="preserve">ORD-5271</t>
  </si>
  <si>
    <t xml:space="preserve">30 Apr 2026</t>
  </si>
  <si>
    <t xml:space="preserve">Zoe Santos</t>
  </si>
  <si>
    <t xml:space="preserve">ORD-5036</t>
  </si>
  <si>
    <t xml:space="preserve">03/04/2026</t>
  </si>
  <si>
    <t xml:space="preserve">11.99</t>
  </si>
  <si>
    <t xml:space="preserve">ORD-5176</t>
  </si>
  <si>
    <t xml:space="preserve">02/05/2026</t>
  </si>
  <si>
    <t xml:space="preserve">WIRELESS HEADPHONES</t>
  </si>
  <si>
    <t xml:space="preserve">ORD-5114</t>
  </si>
  <si>
    <t xml:space="preserve">08 Sep 2026</t>
  </si>
  <si>
    <t xml:space="preserve">11.00</t>
  </si>
  <si>
    <t xml:space="preserve">ORD-5206</t>
  </si>
  <si>
    <t xml:space="preserve">USD 4.50</t>
  </si>
  <si>
    <t xml:space="preserve">ORD-5116</t>
  </si>
  <si>
    <t xml:space="preserve">ORD-5242</t>
  </si>
  <si>
    <t xml:space="preserve">02 May 2026</t>
  </si>
  <si>
    <t xml:space="preserve">zip hoodie</t>
  </si>
  <si>
    <t xml:space="preserve">ORD-5156</t>
  </si>
  <si>
    <t xml:space="preserve">01/07/2026</t>
  </si>
  <si>
    <t xml:space="preserve">ORD-5277</t>
  </si>
  <si>
    <t xml:space="preserve">2026-08-04</t>
  </si>
  <si>
    <t xml:space="preserve">Zoe Brooks</t>
  </si>
  <si>
    <t xml:space="preserve">44.00</t>
  </si>
  <si>
    <t xml:space="preserve">ORD-5296</t>
  </si>
  <si>
    <t xml:space="preserve">ORD-5225</t>
  </si>
  <si>
    <t xml:space="preserve">01/08/2026</t>
  </si>
  <si>
    <t xml:space="preserve">argan shampoo</t>
  </si>
  <si>
    <t xml:space="preserve">ORD-5302</t>
  </si>
  <si>
    <t xml:space="preserve">13 Jul 2026</t>
  </si>
  <si>
    <t xml:space="preserve">  Daily Moisturiser SPF15 </t>
  </si>
  <si>
    <t xml:space="preserve">$16.50</t>
  </si>
  <si>
    <t xml:space="preserve">ORD-5084</t>
  </si>
  <si>
    <t xml:space="preserve">18 May 2026</t>
  </si>
  <si>
    <t xml:space="preserve">  Resistance Band Set </t>
  </si>
  <si>
    <t xml:space="preserve">ORD-5233</t>
  </si>
  <si>
    <t xml:space="preserve">ORD-5026</t>
  </si>
  <si>
    <t xml:space="preserve">2026-07-04</t>
  </si>
  <si>
    <t xml:space="preserve">ORD-5014</t>
  </si>
  <si>
    <t xml:space="preserve">23/07/2026</t>
  </si>
  <si>
    <t xml:space="preserve">USD 29.00</t>
  </si>
  <si>
    <t xml:space="preserve">ORD-5150</t>
  </si>
  <si>
    <t xml:space="preserve">20 Sep 2026</t>
  </si>
  <si>
    <t xml:space="preserve">ELECTRIC KETTLE 1.7L</t>
  </si>
  <si>
    <t xml:space="preserve">ORD-5021</t>
  </si>
  <si>
    <t xml:space="preserve">19/05/2026</t>
  </si>
  <si>
    <t xml:space="preserve">  Gym Leggings </t>
  </si>
  <si>
    <t xml:space="preserve">ORD-5002</t>
  </si>
  <si>
    <t xml:space="preserve">ORD-5016</t>
  </si>
  <si>
    <t xml:space="preserve">Ethan Hughes</t>
  </si>
  <si>
    <t xml:space="preserve">dumbbell pair 5kg</t>
  </si>
  <si>
    <t xml:space="preserve">ORD-5256</t>
  </si>
  <si>
    <t xml:space="preserve">18/06/2026</t>
  </si>
  <si>
    <t xml:space="preserve">STEEL WATER BOTTLE 750ML</t>
  </si>
  <si>
    <t xml:space="preserve">17.00</t>
  </si>
  <si>
    <t xml:space="preserve">ORD-5066</t>
  </si>
  <si>
    <t xml:space="preserve">14/09/2026</t>
  </si>
  <si>
    <t xml:space="preserve">ORD-5050</t>
  </si>
  <si>
    <t xml:space="preserve">2026-07-15</t>
  </si>
  <si>
    <t xml:space="preserve">ORD-5091</t>
  </si>
  <si>
    <t xml:space="preserve">23 May 2026</t>
  </si>
  <si>
    <t xml:space="preserve">ORD-5073</t>
  </si>
  <si>
    <t xml:space="preserve">ORD-5226</t>
  </si>
  <si>
    <t xml:space="preserve">03/07/2026</t>
  </si>
  <si>
    <t xml:space="preserve">ORD-5182</t>
  </si>
  <si>
    <t xml:space="preserve">17 Sep 2026</t>
  </si>
  <si>
    <t xml:space="preserve">ORD-5029</t>
  </si>
  <si>
    <t xml:space="preserve">2026-06-26</t>
  </si>
  <si>
    <t xml:space="preserve">ORD-5244</t>
  </si>
  <si>
    <t xml:space="preserve">04/05/2026</t>
  </si>
  <si>
    <t xml:space="preserve">$17.00</t>
  </si>
  <si>
    <t xml:space="preserve">ORD-5190</t>
  </si>
  <si>
    <t xml:space="preserve">ORD-5003</t>
  </si>
  <si>
    <t xml:space="preserve">2026-07-03</t>
  </si>
  <si>
    <t xml:space="preserve">ORD-5313</t>
  </si>
  <si>
    <t xml:space="preserve">22.00</t>
  </si>
  <si>
    <t xml:space="preserve">ORD-5142</t>
  </si>
  <si>
    <t xml:space="preserve">05 Apr 2026</t>
  </si>
  <si>
    <t xml:space="preserve">ORD-5292</t>
  </si>
  <si>
    <t xml:space="preserve">2026-04-06</t>
  </si>
  <si>
    <t xml:space="preserve">$8.99</t>
  </si>
  <si>
    <t xml:space="preserve">ORD-5010</t>
  </si>
  <si>
    <t xml:space="preserve">19 Jun 2026</t>
  </si>
  <si>
    <t xml:space="preserve">ORD-5263</t>
  </si>
  <si>
    <t xml:space="preserve">DAILY MOISTURISER SPF15</t>
  </si>
  <si>
    <t xml:space="preserve">16.50</t>
  </si>
  <si>
    <t xml:space="preserve">ORD-5180</t>
  </si>
  <si>
    <t xml:space="preserve">ORD-5020</t>
  </si>
  <si>
    <t xml:space="preserve">2026-07-28</t>
  </si>
  <si>
    <t xml:space="preserve">ORD-5069</t>
  </si>
  <si>
    <t xml:space="preserve">USD 36.00</t>
  </si>
  <si>
    <t xml:space="preserve">ORD-5265</t>
  </si>
  <si>
    <t xml:space="preserve">ORD-5035</t>
  </si>
  <si>
    <t xml:space="preserve">05 Sep 2026</t>
  </si>
  <si>
    <t xml:space="preserve">ORD-5152</t>
  </si>
  <si>
    <t xml:space="preserve">ORD-5283</t>
  </si>
  <si>
    <t xml:space="preserve">ORD-5237</t>
  </si>
  <si>
    <t xml:space="preserve">2026-04-20</t>
  </si>
  <si>
    <t xml:space="preserve">ORD-5209</t>
  </si>
  <si>
    <t xml:space="preserve">11 Aug 2026</t>
  </si>
  <si>
    <t xml:space="preserve">ORD-5164</t>
  </si>
  <si>
    <t xml:space="preserve">  Foam Roller </t>
  </si>
  <si>
    <t xml:space="preserve">ORD-5253</t>
  </si>
  <si>
    <t xml:space="preserve">ORD-5207</t>
  </si>
  <si>
    <t xml:space="preserve">ORD-5151</t>
  </si>
  <si>
    <t xml:space="preserve">26 Apr 2026</t>
  </si>
  <si>
    <t xml:space="preserve">Reflective Leash</t>
  </si>
  <si>
    <t xml:space="preserve">$15.00</t>
  </si>
  <si>
    <t xml:space="preserve">ORD-5055</t>
  </si>
  <si>
    <t xml:space="preserve">03 Apr 2026</t>
  </si>
  <si>
    <t xml:space="preserve">ORD-5172</t>
  </si>
  <si>
    <t xml:space="preserve">CAT SCRATCHING POST</t>
  </si>
  <si>
    <t xml:space="preserve">$33.00</t>
  </si>
  <si>
    <t xml:space="preserve">ORD-5231</t>
  </si>
  <si>
    <t xml:space="preserve">04/07/2026</t>
  </si>
  <si>
    <t xml:space="preserve">electric kettle 1.7l</t>
  </si>
  <si>
    <t xml:space="preserve">ORD-5214</t>
  </si>
  <si>
    <t xml:space="preserve">13/08/2026</t>
  </si>
  <si>
    <t xml:space="preserve">cat scratching post</t>
  </si>
  <si>
    <t xml:space="preserve">33.00</t>
  </si>
  <si>
    <t xml:space="preserve">ORD-5075</t>
  </si>
  <si>
    <t xml:space="preserve">14/08/2026</t>
  </si>
  <si>
    <t xml:space="preserve">ORD-5133</t>
  </si>
  <si>
    <t xml:space="preserve">09/07/2026</t>
  </si>
  <si>
    <t xml:space="preserve">ORD-5131</t>
  </si>
  <si>
    <t xml:space="preserve">08/07/2026</t>
  </si>
  <si>
    <t xml:space="preserve">  Steel Water Bottle 750ml </t>
  </si>
  <si>
    <t xml:space="preserve">ORD-5022</t>
  </si>
  <si>
    <t xml:space="preserve">USD 12.00</t>
  </si>
  <si>
    <t xml:space="preserve">ORD-5228</t>
  </si>
  <si>
    <t xml:space="preserve">dog chew toy</t>
  </si>
  <si>
    <t xml:space="preserve">ORD-5119</t>
  </si>
  <si>
    <t xml:space="preserve">steel water bottle 750ml</t>
  </si>
  <si>
    <t xml:space="preserve">ORD-5290</t>
  </si>
  <si>
    <t xml:space="preserve">29/08/2026</t>
  </si>
  <si>
    <t xml:space="preserve">ORD-5197</t>
  </si>
  <si>
    <t xml:space="preserve">ORD-5286</t>
  </si>
  <si>
    <t xml:space="preserve">2026-04-23</t>
  </si>
  <si>
    <t xml:space="preserve">ORD-5163</t>
  </si>
  <si>
    <t xml:space="preserve">16/07/2026</t>
  </si>
  <si>
    <t xml:space="preserve">ORD-5161</t>
  </si>
  <si>
    <t xml:space="preserve">10 Apr 2026</t>
  </si>
  <si>
    <t xml:space="preserve">$30.00</t>
  </si>
  <si>
    <t xml:space="preserve">ORD-5096</t>
  </si>
  <si>
    <t xml:space="preserve">20 Jun 2026</t>
  </si>
  <si>
    <t xml:space="preserve">ORD-5013</t>
  </si>
  <si>
    <t xml:space="preserve">2026-04-28</t>
  </si>
  <si>
    <t xml:space="preserve">ORD-5186</t>
  </si>
  <si>
    <t xml:space="preserve">ORD-5033</t>
  </si>
  <si>
    <t xml:space="preserve">25 May 2026</t>
  </si>
  <si>
    <t xml:space="preserve">ORD-5012</t>
  </si>
  <si>
    <t xml:space="preserve">2026-08-22</t>
  </si>
  <si>
    <t xml:space="preserve">ORD-5282</t>
  </si>
  <si>
    <t xml:space="preserve">25 Jun 2026</t>
  </si>
  <si>
    <t xml:space="preserve">ORD-5000</t>
  </si>
  <si>
    <t xml:space="preserve">2026-06-02</t>
  </si>
  <si>
    <t xml:space="preserve">ORD-5213</t>
  </si>
  <si>
    <t xml:space="preserve">17/04/2026</t>
  </si>
  <si>
    <t xml:space="preserve">ORD-5067</t>
  </si>
  <si>
    <t xml:space="preserve">17 May 2026</t>
  </si>
  <si>
    <t xml:space="preserve">ORD-5287</t>
  </si>
  <si>
    <t xml:space="preserve">ORD-5192</t>
  </si>
  <si>
    <t xml:space="preserve">27.99</t>
  </si>
  <si>
    <t xml:space="preserve">ORD-5144</t>
  </si>
  <si>
    <t xml:space="preserve">01/09/2026</t>
  </si>
  <si>
    <t xml:space="preserve">skipping rope</t>
  </si>
  <si>
    <t xml:space="preserve">USD 8.99</t>
  </si>
  <si>
    <t xml:space="preserve">ORD-5019</t>
  </si>
  <si>
    <t xml:space="preserve">10 Jul 2026</t>
  </si>
  <si>
    <t xml:space="preserve">ORD-5297</t>
  </si>
  <si>
    <t xml:space="preserve">28 Jul 2026</t>
  </si>
  <si>
    <t xml:space="preserve">ORD-5044</t>
  </si>
  <si>
    <t xml:space="preserve">21/05/2026</t>
  </si>
  <si>
    <t xml:space="preserve">ORD-5243</t>
  </si>
  <si>
    <t xml:space="preserve">ORD-5189</t>
  </si>
  <si>
    <t xml:space="preserve">ORD-5303</t>
  </si>
  <si>
    <t xml:space="preserve">16 Apr 2026</t>
  </si>
  <si>
    <t xml:space="preserve">ORD-5049</t>
  </si>
  <si>
    <t xml:space="preserve">14 Sep 2026</t>
  </si>
  <si>
    <t xml:space="preserve">ORD-5009</t>
  </si>
  <si>
    <t xml:space="preserve">11 Jul 2026</t>
  </si>
  <si>
    <t xml:space="preserve">ORD-5128</t>
  </si>
  <si>
    <t xml:space="preserve">10/09/2026</t>
  </si>
  <si>
    <t xml:space="preserve">ORD-5250</t>
  </si>
  <si>
    <t xml:space="preserve">ORD-5196</t>
  </si>
  <si>
    <t xml:space="preserve">19 Apr 2026</t>
  </si>
  <si>
    <t xml:space="preserve">SKIPPING ROPE</t>
  </si>
  <si>
    <t xml:space="preserve">ORD-5171</t>
  </si>
  <si>
    <t xml:space="preserve">08 Jun 2026</t>
  </si>
  <si>
    <t xml:space="preserve">ORD-5288</t>
  </si>
  <si>
    <t xml:space="preserve">09 Apr 2026</t>
  </si>
  <si>
    <t xml:space="preserve">sunscreen spf50</t>
  </si>
  <si>
    <t xml:space="preserve">ORD-5280</t>
  </si>
  <si>
    <t xml:space="preserve">ORD-5112</t>
  </si>
  <si>
    <t xml:space="preserve">ORD-5136</t>
  </si>
  <si>
    <t xml:space="preserve">ZIP HOODIE</t>
  </si>
  <si>
    <t xml:space="preserve">ORD-5007</t>
  </si>
  <si>
    <t xml:space="preserve">03/05/2026</t>
  </si>
  <si>
    <t xml:space="preserve">ORD-5093</t>
  </si>
  <si>
    <t xml:space="preserve">21 May 2026</t>
  </si>
  <si>
    <t xml:space="preserve">ORD-5027</t>
  </si>
  <si>
    <t xml:space="preserve">2026-08-20</t>
  </si>
  <si>
    <t xml:space="preserve">ORD-5200</t>
  </si>
  <si>
    <t xml:space="preserve">2026-06-23</t>
  </si>
  <si>
    <t xml:space="preserve">ORD-5246</t>
  </si>
  <si>
    <t xml:space="preserve">06/05/2026</t>
  </si>
  <si>
    <t xml:space="preserve">ORD-5109</t>
  </si>
  <si>
    <t xml:space="preserve">2026-08-05</t>
  </si>
  <si>
    <t xml:space="preserve">ORD-5130</t>
  </si>
  <si>
    <t xml:space="preserve">2026-07-06</t>
  </si>
  <si>
    <t xml:space="preserve">ORD-5289</t>
  </si>
  <si>
    <t xml:space="preserve">15 Apr 2026</t>
  </si>
  <si>
    <t xml:space="preserve">ORD-5210</t>
  </si>
  <si>
    <t xml:space="preserve">ORD-5001</t>
  </si>
  <si>
    <t xml:space="preserve">14/04/2026</t>
  </si>
  <si>
    <t xml:space="preserve">ORD-5234</t>
  </si>
  <si>
    <t xml:space="preserve">26 Aug 2026</t>
  </si>
  <si>
    <t xml:space="preserve">ORD-5298</t>
  </si>
  <si>
    <t xml:space="preserve">2026-06-04</t>
  </si>
  <si>
    <t xml:space="preserve">ORD-5039</t>
  </si>
  <si>
    <t xml:space="preserve">ORD-5254</t>
  </si>
  <si>
    <t xml:space="preserve">ORD-5308</t>
  </si>
  <si>
    <t xml:space="preserve">ORD-5045</t>
  </si>
  <si>
    <t xml:space="preserve">06/08/2026</t>
  </si>
  <si>
    <t xml:space="preserve">Cat Scratching Post</t>
  </si>
  <si>
    <t xml:space="preserve">ORD-5105</t>
  </si>
  <si>
    <t xml:space="preserve">12 Jun 2026</t>
  </si>
  <si>
    <t xml:space="preserve">ORD-5281</t>
  </si>
  <si>
    <t xml:space="preserve">22 Sep 2026</t>
  </si>
  <si>
    <t xml:space="preserve">ORD-5312</t>
  </si>
  <si>
    <t xml:space="preserve">ORD-5284</t>
  </si>
  <si>
    <t xml:space="preserve">2026-09-20</t>
  </si>
  <si>
    <t xml:space="preserve">ORD-5080</t>
  </si>
  <si>
    <t xml:space="preserve">2026-05-19</t>
  </si>
  <si>
    <t xml:space="preserve">ORD-5229</t>
  </si>
  <si>
    <t xml:space="preserve">2026-08-15</t>
  </si>
  <si>
    <t xml:space="preserve">ORD-5222</t>
  </si>
  <si>
    <t xml:space="preserve">ORD-5316</t>
  </si>
  <si>
    <t xml:space="preserve">2026-09-22</t>
  </si>
  <si>
    <t xml:space="preserve">ORD-5301</t>
  </si>
  <si>
    <t xml:space="preserve">ORD-5017</t>
  </si>
  <si>
    <t xml:space="preserve">ORD-5117</t>
  </si>
  <si>
    <t xml:space="preserve">chef knife 8in</t>
  </si>
  <si>
    <t xml:space="preserve">ORD-5129</t>
  </si>
  <si>
    <t xml:space="preserve">ORD-5183</t>
  </si>
  <si>
    <t xml:space="preserve">17 Apr 2026</t>
  </si>
  <si>
    <t xml:space="preserve">ORD-5165</t>
  </si>
  <si>
    <t xml:space="preserve">2026-07-17</t>
  </si>
  <si>
    <t xml:space="preserve">ORD-5040</t>
  </si>
  <si>
    <t xml:space="preserve">12.00</t>
  </si>
  <si>
    <t xml:space="preserve">ORD-5018</t>
  </si>
  <si>
    <t xml:space="preserve">ORD-5078</t>
  </si>
  <si>
    <t xml:space="preserve">2026-04-25</t>
  </si>
  <si>
    <t xml:space="preserve">ORD-5101</t>
  </si>
  <si>
    <t xml:space="preserve">ORD-5123</t>
  </si>
  <si>
    <t xml:space="preserve">ORD-5148</t>
  </si>
  <si>
    <t xml:space="preserve">08 Jul 2026</t>
  </si>
  <si>
    <t xml:space="preserve">ORD-5212</t>
  </si>
  <si>
    <t xml:space="preserve">13/06/2026</t>
  </si>
  <si>
    <t xml:space="preserve">ORD-5124</t>
  </si>
  <si>
    <t xml:space="preserve">2026-09-03</t>
  </si>
  <si>
    <t xml:space="preserve">ORD-5248</t>
  </si>
  <si>
    <t xml:space="preserve">ORD-5062</t>
  </si>
  <si>
    <t xml:space="preserve">29/04/2026</t>
  </si>
  <si>
    <t xml:space="preserve">ORD-5074</t>
  </si>
  <si>
    <t xml:space="preserve">27/09/2026</t>
  </si>
  <si>
    <t xml:space="preserve">ORD-5065</t>
  </si>
  <si>
    <t xml:space="preserve">2026-04-09</t>
  </si>
  <si>
    <t xml:space="preserve">ORD-5169</t>
  </si>
  <si>
    <t xml:space="preserve">ORD-5291</t>
  </si>
  <si>
    <t xml:space="preserve">ORD-5015</t>
  </si>
  <si>
    <t xml:space="preserve">17/09/2026</t>
  </si>
  <si>
    <t xml:space="preserve">ORD-5215</t>
  </si>
  <si>
    <t xml:space="preserve">ORD-5307</t>
  </si>
  <si>
    <t xml:space="preserve">Order ID</t>
  </si>
  <si>
    <t xml:space="preserve">Date</t>
  </si>
  <si>
    <t xml:space="preserve">Customer</t>
  </si>
  <si>
    <t xml:space="preserve">Item</t>
  </si>
  <si>
    <t xml:space="preserve">Qty</t>
  </si>
  <si>
    <t xml:space="preserve">Unit Price</t>
  </si>
  <si>
    <t xml:space="preserve">Region</t>
  </si>
  <si>
    <t xml:space="preserve">Line Total</t>
  </si>
  <si>
    <t xml:space="preserve">Month</t>
  </si>
  <si>
    <t xml:space="preserve">Keywords (first match wins)</t>
  </si>
  <si>
    <t xml:space="preserve">headphone, earbud, charger, usb, speaker, power bank, hdmi</t>
  </si>
  <si>
    <t xml:space="preserve">mug, kettle, pan, knife, towel, candle, blender</t>
  </si>
  <si>
    <t xml:space="preserve">yoga, dumbbell, resistance, skipping, water bottle, foam roller</t>
  </si>
  <si>
    <t xml:space="preserve">t-shirt, tshirt, hoodie, socks, cap, jacket, leggings</t>
  </si>
  <si>
    <t xml:space="preserve">serum, shampoo, moisturi, lip balm, sunscreen</t>
  </si>
  <si>
    <t xml:space="preserve">dog, cat , pet , leash, litter</t>
  </si>
  <si>
    <t xml:space="preserve">anything that matches no rule - highlighted yellow for manual review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</si>
</sst>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\$#,##0"/>
    <numFmt numFmtId="168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F7F7F"/>
      <rgbColor rgb="FF878787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Summary!D4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Summary!$A$5:$A$11</c:f>
              <c:strCache>
                <c:ptCount val="7"/>
                <c:pt idx="0">
                  <c:v>Electronics</c:v>
                </c:pt>
                <c:pt idx="1">
                  <c:v>Home &amp; Kitchen</c:v>
                </c:pt>
                <c:pt idx="2">
                  <c:v>Fitness</c:v>
                </c:pt>
                <c:pt idx="3">
                  <c:v>Clothing</c:v>
                </c:pt>
                <c:pt idx="4">
                  <c:v>Beauty</c:v>
                </c:pt>
                <c:pt idx="5">
                  <c:v>Pet Supplies</c:v>
                </c:pt>
                <c:pt idx="6">
                  <c:v>Uncategorized</c:v>
                </c:pt>
              </c:strCache>
            </c:strRef>
          </c:cat>
          <c:val>
            <c:numRef>
              <c:f>Summary!$D$5:$D$11</c:f>
              <c:numCache>
                <c:formatCode>\$#,##0.00</c:formatCode>
                <c:ptCount val="7"/>
                <c:pt idx="0">
                  <c:v>5663.26</c:v>
                </c:pt>
                <c:pt idx="1">
                  <c:v>4987.5</c:v>
                </c:pt>
                <c:pt idx="2">
                  <c:v>2262.48</c:v>
                </c:pt>
                <c:pt idx="3">
                  <c:v>4075.19</c:v>
                </c:pt>
                <c:pt idx="4">
                  <c:v>1326.82</c:v>
                </c:pt>
                <c:pt idx="5">
                  <c:v>1025.28</c:v>
                </c:pt>
                <c:pt idx="6">
                  <c:v>322.5</c:v>
                </c:pt>
              </c:numCache>
            </c:numRef>
          </c:val>
        </c:ser>
        <c:gapWidth val="150"/>
        <c:overlap val="0"/>
        <c:axId val="39538739"/>
        <c:axId val="20283080"/>
      </c:barChart>
      <c:catAx>
        <c:axId val="395387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83080"/>
        <c:crosses val="autoZero"/>
        <c:auto val="1"/>
        <c:lblAlgn val="ctr"/>
        <c:lblOffset val="100"/>
        <c:noMultiLvlLbl val="0"/>
      </c:catAx>
      <c:valAx>
        <c:axId val="202830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387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16</xdr:col>
      <xdr:colOff>256320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639144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0" t="s">
        <v>8</v>
      </c>
      <c r="B5" s="0" t="n">
        <f aca="false">COUNTIF(Categorized!$H$2:$H$321,A5)</f>
        <v>70</v>
      </c>
      <c r="C5" s="0" t="n">
        <f aca="false">SUMIF(Categorized!$H$2:$H$321,A5,Categorized!$E$2:$E$321)</f>
        <v>184</v>
      </c>
      <c r="D5" s="4" t="n">
        <f aca="false">SUMIF(Categorized!$H$2:$H$321,A5,Categorized!$I$2:$I$321)</f>
        <v>5663.26</v>
      </c>
      <c r="E5" s="4" t="n">
        <f aca="false">IF(B5=0,0,D5/B5)</f>
        <v>80.9037142857143</v>
      </c>
      <c r="F5" s="5" t="n">
        <f aca="false">D5/$D$12</f>
        <v>0.288015631365054</v>
      </c>
    </row>
    <row r="6" customFormat="false" ht="15" hidden="false" customHeight="false" outlineLevel="0" collapsed="false">
      <c r="A6" s="0" t="s">
        <v>9</v>
      </c>
      <c r="B6" s="0" t="n">
        <f aca="false">COUNTIF(Categorized!$H$2:$H$321,A6)</f>
        <v>65</v>
      </c>
      <c r="C6" s="0" t="n">
        <f aca="false">SUMIF(Categorized!$H$2:$H$321,A6,Categorized!$E$2:$E$321)</f>
        <v>166</v>
      </c>
      <c r="D6" s="4" t="n">
        <f aca="false">SUMIF(Categorized!$H$2:$H$321,A6,Categorized!$I$2:$I$321)</f>
        <v>4987.5</v>
      </c>
      <c r="E6" s="4" t="n">
        <f aca="false">IF(B6=0,0,D6/B6)</f>
        <v>76.7307692307692</v>
      </c>
      <c r="F6" s="5" t="n">
        <f aca="false">D6/$D$12</f>
        <v>0.253648598410316</v>
      </c>
    </row>
    <row r="7" customFormat="false" ht="15" hidden="false" customHeight="false" outlineLevel="0" collapsed="false">
      <c r="A7" s="0" t="s">
        <v>10</v>
      </c>
      <c r="B7" s="0" t="n">
        <f aca="false">COUNTIF(Categorized!$H$2:$H$321,A7)</f>
        <v>47</v>
      </c>
      <c r="C7" s="0" t="n">
        <f aca="false">SUMIF(Categorized!$H$2:$H$321,A7,Categorized!$E$2:$E$321)</f>
        <v>109</v>
      </c>
      <c r="D7" s="4" t="n">
        <f aca="false">SUMIF(Categorized!$H$2:$H$321,A7,Categorized!$I$2:$I$321)</f>
        <v>2262.48</v>
      </c>
      <c r="E7" s="4" t="n">
        <f aca="false">IF(B7=0,0,D7/B7)</f>
        <v>48.1378723404255</v>
      </c>
      <c r="F7" s="5" t="n">
        <f aca="false">D7/$D$12</f>
        <v>0.115062632768195</v>
      </c>
    </row>
    <row r="8" customFormat="false" ht="15" hidden="false" customHeight="false" outlineLevel="0" collapsed="false">
      <c r="A8" s="0" t="s">
        <v>11</v>
      </c>
      <c r="B8" s="0" t="n">
        <f aca="false">COUNTIF(Categorized!$H$2:$H$321,A8)</f>
        <v>66</v>
      </c>
      <c r="C8" s="0" t="n">
        <f aca="false">SUMIF(Categorized!$H$2:$H$321,A8,Categorized!$E$2:$E$321)</f>
        <v>168</v>
      </c>
      <c r="D8" s="4" t="n">
        <f aca="false">SUMIF(Categorized!$H$2:$H$321,A8,Categorized!$I$2:$I$321)</f>
        <v>4075.19</v>
      </c>
      <c r="E8" s="4" t="n">
        <f aca="false">IF(B8=0,0,D8/B8)</f>
        <v>61.745303030303</v>
      </c>
      <c r="F8" s="5" t="n">
        <f aca="false">D8/$D$12</f>
        <v>0.207251374788118</v>
      </c>
    </row>
    <row r="9" customFormat="false" ht="15" hidden="false" customHeight="false" outlineLevel="0" collapsed="false">
      <c r="A9" s="0" t="s">
        <v>12</v>
      </c>
      <c r="B9" s="0" t="n">
        <f aca="false">COUNTIF(Categorized!$H$2:$H$321,A9)</f>
        <v>37</v>
      </c>
      <c r="C9" s="0" t="n">
        <f aca="false">SUMIF(Categorized!$H$2:$H$321,A9,Categorized!$E$2:$E$321)</f>
        <v>93</v>
      </c>
      <c r="D9" s="4" t="n">
        <f aca="false">SUMIF(Categorized!$H$2:$H$321,A9,Categorized!$I$2:$I$321)</f>
        <v>1326.82</v>
      </c>
      <c r="E9" s="4" t="n">
        <f aca="false">IF(B9=0,0,D9/B9)</f>
        <v>35.86</v>
      </c>
      <c r="F9" s="5" t="n">
        <f aca="false">D9/$D$12</f>
        <v>0.0674779014221104</v>
      </c>
    </row>
    <row r="10" customFormat="false" ht="15" hidden="false" customHeight="false" outlineLevel="0" collapsed="false">
      <c r="A10" s="0" t="s">
        <v>13</v>
      </c>
      <c r="B10" s="0" t="n">
        <f aca="false">COUNTIF(Categorized!$H$2:$H$321,A10)</f>
        <v>29</v>
      </c>
      <c r="C10" s="0" t="n">
        <f aca="false">SUMIF(Categorized!$H$2:$H$321,A10,Categorized!$E$2:$E$321)</f>
        <v>70</v>
      </c>
      <c r="D10" s="4" t="n">
        <f aca="false">SUMIF(Categorized!$H$2:$H$321,A10,Categorized!$I$2:$I$321)</f>
        <v>1025.28</v>
      </c>
      <c r="E10" s="4" t="n">
        <f aca="false">IF(B10=0,0,D10/B10)</f>
        <v>35.3544827586207</v>
      </c>
      <c r="F10" s="5" t="n">
        <f aca="false">D10/$D$12</f>
        <v>0.0521425233038855</v>
      </c>
    </row>
    <row r="11" customFormat="false" ht="15" hidden="false" customHeight="false" outlineLevel="0" collapsed="false">
      <c r="A11" s="0" t="s">
        <v>14</v>
      </c>
      <c r="B11" s="0" t="n">
        <f aca="false">COUNTIF(Categorized!$H$2:$H$321,A11)</f>
        <v>6</v>
      </c>
      <c r="C11" s="0" t="n">
        <f aca="false">SUMIF(Categorized!$H$2:$H$321,A11,Categorized!$E$2:$E$321)</f>
        <v>15</v>
      </c>
      <c r="D11" s="4" t="n">
        <f aca="false">SUMIF(Categorized!$H$2:$H$321,A11,Categorized!$I$2:$I$321)</f>
        <v>322.5</v>
      </c>
      <c r="E11" s="4" t="n">
        <f aca="false">IF(B11=0,0,D11/B11)</f>
        <v>53.75</v>
      </c>
      <c r="F11" s="5" t="n">
        <f aca="false">D11/$D$12</f>
        <v>0.0164013379423212</v>
      </c>
    </row>
    <row r="12" customFormat="false" ht="15" hidden="false" customHeight="false" outlineLevel="0" collapsed="false">
      <c r="A12" s="6" t="s">
        <v>15</v>
      </c>
      <c r="B12" s="6" t="n">
        <f aca="false">SUM(B5:B11)</f>
        <v>320</v>
      </c>
      <c r="C12" s="6" t="n">
        <f aca="false">SUM(C5:C11)</f>
        <v>805</v>
      </c>
      <c r="D12" s="7" t="n">
        <f aca="false">SUM(D5:D11)</f>
        <v>19663.03</v>
      </c>
      <c r="E12" s="7" t="n">
        <f aca="false">D12/B12</f>
        <v>61.44696875</v>
      </c>
      <c r="F12" s="8" t="n">
        <f aca="false">SUM(F5:F11)</f>
        <v>1</v>
      </c>
    </row>
    <row r="14" customFormat="false" ht="15" hidden="false" customHeight="false" outlineLevel="0" collapsed="false">
      <c r="A14" s="9" t="s">
        <v>16</v>
      </c>
    </row>
    <row r="15" customFormat="false" ht="15" hidden="false" customHeight="false" outlineLevel="0" collapsed="false">
      <c r="A15" s="3" t="s">
        <v>2</v>
      </c>
      <c r="B15" s="3" t="s">
        <v>17</v>
      </c>
      <c r="C15" s="3" t="s">
        <v>18</v>
      </c>
      <c r="D15" s="3" t="s">
        <v>19</v>
      </c>
      <c r="E15" s="3" t="s">
        <v>20</v>
      </c>
    </row>
    <row r="16" customFormat="false" ht="15" hidden="false" customHeight="false" outlineLevel="0" collapsed="false">
      <c r="A16" s="0" t="s">
        <v>8</v>
      </c>
      <c r="B16" s="10" t="n">
        <f aca="false">SUMIFS(Categorized!$I$2:$I$321,Categorized!$H$2:$H$321,$A16,Categorized!$G$2:$G$321,B$15)</f>
        <v>1614.34</v>
      </c>
      <c r="C16" s="10" t="n">
        <f aca="false">SUMIFS(Categorized!$I$2:$I$321,Categorized!$H$2:$H$321,$A16,Categorized!$G$2:$G$321,C$15)</f>
        <v>1298.35</v>
      </c>
      <c r="D16" s="10" t="n">
        <f aca="false">SUMIFS(Categorized!$I$2:$I$321,Categorized!$H$2:$H$321,$A16,Categorized!$G$2:$G$321,D$15)</f>
        <v>1034.91</v>
      </c>
      <c r="E16" s="10" t="n">
        <f aca="false">SUMIFS(Categorized!$I$2:$I$321,Categorized!$H$2:$H$321,$A16,Categorized!$G$2:$G$321,E$15)</f>
        <v>1715.66</v>
      </c>
    </row>
    <row r="17" customFormat="false" ht="15" hidden="false" customHeight="false" outlineLevel="0" collapsed="false">
      <c r="A17" s="0" t="s">
        <v>9</v>
      </c>
      <c r="B17" s="10" t="n">
        <f aca="false">SUMIFS(Categorized!$I$2:$I$321,Categorized!$H$2:$H$321,$A17,Categorized!$G$2:$G$321,B$15)</f>
        <v>1289</v>
      </c>
      <c r="C17" s="10" t="n">
        <f aca="false">SUMIFS(Categorized!$I$2:$I$321,Categorized!$H$2:$H$321,$A17,Categorized!$G$2:$G$321,C$15)</f>
        <v>1208</v>
      </c>
      <c r="D17" s="10" t="n">
        <f aca="false">SUMIFS(Categorized!$I$2:$I$321,Categorized!$H$2:$H$321,$A17,Categorized!$G$2:$G$321,D$15)</f>
        <v>1374.5</v>
      </c>
      <c r="E17" s="10" t="n">
        <f aca="false">SUMIFS(Categorized!$I$2:$I$321,Categorized!$H$2:$H$321,$A17,Categorized!$G$2:$G$321,E$15)</f>
        <v>1116</v>
      </c>
    </row>
    <row r="18" customFormat="false" ht="15" hidden="false" customHeight="false" outlineLevel="0" collapsed="false">
      <c r="A18" s="0" t="s">
        <v>10</v>
      </c>
      <c r="B18" s="10" t="n">
        <f aca="false">SUMIFS(Categorized!$I$2:$I$321,Categorized!$H$2:$H$321,$A18,Categorized!$G$2:$G$321,B$15)</f>
        <v>588.89</v>
      </c>
      <c r="C18" s="10" t="n">
        <f aca="false">SUMIFS(Categorized!$I$2:$I$321,Categorized!$H$2:$H$321,$A18,Categorized!$G$2:$G$321,C$15)</f>
        <v>738.85</v>
      </c>
      <c r="D18" s="10" t="n">
        <f aca="false">SUMIFS(Categorized!$I$2:$I$321,Categorized!$H$2:$H$321,$A18,Categorized!$G$2:$G$321,D$15)</f>
        <v>651.85</v>
      </c>
      <c r="E18" s="10" t="n">
        <f aca="false">SUMIFS(Categorized!$I$2:$I$321,Categorized!$H$2:$H$321,$A18,Categorized!$G$2:$G$321,E$15)</f>
        <v>282.89</v>
      </c>
    </row>
    <row r="19" customFormat="false" ht="15" hidden="false" customHeight="false" outlineLevel="0" collapsed="false">
      <c r="A19" s="0" t="s">
        <v>11</v>
      </c>
      <c r="B19" s="10" t="n">
        <f aca="false">SUMIFS(Categorized!$I$2:$I$321,Categorized!$H$2:$H$321,$A19,Categorized!$G$2:$G$321,B$15)</f>
        <v>950.4</v>
      </c>
      <c r="C19" s="10" t="n">
        <f aca="false">SUMIFS(Categorized!$I$2:$I$321,Categorized!$H$2:$H$321,$A19,Categorized!$G$2:$G$321,C$15)</f>
        <v>1414.47</v>
      </c>
      <c r="D19" s="10" t="n">
        <f aca="false">SUMIFS(Categorized!$I$2:$I$321,Categorized!$H$2:$H$321,$A19,Categorized!$G$2:$G$321,D$15)</f>
        <v>582.46</v>
      </c>
      <c r="E19" s="10" t="n">
        <f aca="false">SUMIFS(Categorized!$I$2:$I$321,Categorized!$H$2:$H$321,$A19,Categorized!$G$2:$G$321,E$15)</f>
        <v>1127.86</v>
      </c>
    </row>
    <row r="20" customFormat="false" ht="15" hidden="false" customHeight="false" outlineLevel="0" collapsed="false">
      <c r="A20" s="0" t="s">
        <v>12</v>
      </c>
      <c r="B20" s="10" t="n">
        <f aca="false">SUMIFS(Categorized!$I$2:$I$321,Categorized!$H$2:$H$321,$A20,Categorized!$G$2:$G$321,B$15)</f>
        <v>221.48</v>
      </c>
      <c r="C20" s="10" t="n">
        <f aca="false">SUMIFS(Categorized!$I$2:$I$321,Categorized!$H$2:$H$321,$A20,Categorized!$G$2:$G$321,C$15)</f>
        <v>298.48</v>
      </c>
      <c r="D20" s="10" t="n">
        <f aca="false">SUMIFS(Categorized!$I$2:$I$321,Categorized!$H$2:$H$321,$A20,Categorized!$G$2:$G$321,D$15)</f>
        <v>626.37</v>
      </c>
      <c r="E20" s="10" t="n">
        <f aca="false">SUMIFS(Categorized!$I$2:$I$321,Categorized!$H$2:$H$321,$A20,Categorized!$G$2:$G$321,E$15)</f>
        <v>180.49</v>
      </c>
    </row>
    <row r="21" customFormat="false" ht="15" hidden="false" customHeight="false" outlineLevel="0" collapsed="false">
      <c r="A21" s="0" t="s">
        <v>13</v>
      </c>
      <c r="B21" s="10" t="n">
        <f aca="false">SUMIFS(Categorized!$I$2:$I$321,Categorized!$H$2:$H$321,$A21,Categorized!$G$2:$G$321,B$15)</f>
        <v>380.41</v>
      </c>
      <c r="C21" s="10" t="n">
        <f aca="false">SUMIFS(Categorized!$I$2:$I$321,Categorized!$H$2:$H$321,$A21,Categorized!$G$2:$G$321,C$15)</f>
        <v>113.94</v>
      </c>
      <c r="D21" s="10" t="n">
        <f aca="false">SUMIFS(Categorized!$I$2:$I$321,Categorized!$H$2:$H$321,$A21,Categorized!$G$2:$G$321,D$15)</f>
        <v>210.95</v>
      </c>
      <c r="E21" s="10" t="n">
        <f aca="false">SUMIFS(Categorized!$I$2:$I$321,Categorized!$H$2:$H$321,$A21,Categorized!$G$2:$G$321,E$15)</f>
        <v>319.98</v>
      </c>
    </row>
    <row r="22" customFormat="false" ht="15" hidden="false" customHeight="false" outlineLevel="0" collapsed="false">
      <c r="A22" s="0" t="s">
        <v>14</v>
      </c>
      <c r="B22" s="10" t="n">
        <f aca="false">SUMIFS(Categorized!$I$2:$I$321,Categorized!$H$2:$H$321,$A22,Categorized!$G$2:$G$321,B$15)</f>
        <v>4.5</v>
      </c>
      <c r="C22" s="10" t="n">
        <f aca="false">SUMIFS(Categorized!$I$2:$I$321,Categorized!$H$2:$H$321,$A22,Categorized!$G$2:$G$321,C$15)</f>
        <v>120</v>
      </c>
      <c r="D22" s="10" t="n">
        <f aca="false">SUMIFS(Categorized!$I$2:$I$321,Categorized!$H$2:$H$321,$A22,Categorized!$G$2:$G$321,D$15)</f>
        <v>78</v>
      </c>
      <c r="E22" s="10" t="n">
        <f aca="false">SUMIFS(Categorized!$I$2:$I$321,Categorized!$H$2:$H$321,$A22,Categorized!$G$2:$G$321,E$15)</f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n">
        <v>3</v>
      </c>
      <c r="F2" s="0" t="s">
        <v>32</v>
      </c>
      <c r="G2" s="0" t="s">
        <v>20</v>
      </c>
    </row>
    <row r="3" customFormat="false" ht="15" hidden="false" customHeight="false" outlineLevel="0" collapsed="false">
      <c r="A3" s="0" t="s">
        <v>33</v>
      </c>
      <c r="B3" s="0" t="s">
        <v>34</v>
      </c>
      <c r="C3" s="0" t="s">
        <v>35</v>
      </c>
      <c r="D3" s="0" t="s">
        <v>36</v>
      </c>
      <c r="E3" s="0" t="n">
        <v>1</v>
      </c>
      <c r="F3" s="0" t="s">
        <v>37</v>
      </c>
      <c r="G3" s="0" t="s">
        <v>18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s">
        <v>40</v>
      </c>
      <c r="D4" s="0" t="s">
        <v>41</v>
      </c>
      <c r="E4" s="0" t="n">
        <v>3</v>
      </c>
      <c r="F4" s="0" t="s">
        <v>42</v>
      </c>
      <c r="G4" s="0" t="s">
        <v>19</v>
      </c>
    </row>
    <row r="5" customFormat="false" ht="15" hidden="false" customHeight="false" outlineLevel="0" collapsed="false">
      <c r="A5" s="0" t="s">
        <v>43</v>
      </c>
      <c r="B5" s="0" t="s">
        <v>44</v>
      </c>
      <c r="C5" s="0" t="s">
        <v>45</v>
      </c>
      <c r="D5" s="0" t="s">
        <v>46</v>
      </c>
      <c r="E5" s="0" t="n">
        <v>1</v>
      </c>
      <c r="F5" s="0" t="s">
        <v>47</v>
      </c>
      <c r="G5" s="0" t="s">
        <v>18</v>
      </c>
    </row>
    <row r="6" customFormat="false" ht="15" hidden="false" customHeight="false" outlineLevel="0" collapsed="false">
      <c r="A6" s="0" t="s">
        <v>48</v>
      </c>
      <c r="B6" s="0" t="s">
        <v>49</v>
      </c>
      <c r="C6" s="0" t="s">
        <v>50</v>
      </c>
      <c r="D6" s="0" t="s">
        <v>51</v>
      </c>
      <c r="E6" s="0" t="n">
        <v>4</v>
      </c>
      <c r="F6" s="0" t="s">
        <v>52</v>
      </c>
      <c r="G6" s="0" t="s">
        <v>18</v>
      </c>
    </row>
    <row r="7" customFormat="false" ht="15" hidden="false" customHeight="false" outlineLevel="0" collapsed="false">
      <c r="A7" s="0" t="s">
        <v>53</v>
      </c>
      <c r="B7" s="0" t="s">
        <v>54</v>
      </c>
      <c r="C7" s="0" t="s">
        <v>55</v>
      </c>
      <c r="D7" s="0" t="s">
        <v>56</v>
      </c>
      <c r="E7" s="0" t="n">
        <v>4</v>
      </c>
      <c r="F7" s="0" t="s">
        <v>57</v>
      </c>
      <c r="G7" s="0" t="s">
        <v>20</v>
      </c>
    </row>
    <row r="8" customFormat="false" ht="15" hidden="false" customHeight="false" outlineLevel="0" collapsed="false">
      <c r="A8" s="0" t="s">
        <v>58</v>
      </c>
      <c r="B8" s="0" t="s">
        <v>59</v>
      </c>
      <c r="C8" s="0" t="s">
        <v>60</v>
      </c>
      <c r="D8" s="0" t="s">
        <v>61</v>
      </c>
      <c r="E8" s="0" t="n">
        <v>4</v>
      </c>
      <c r="F8" s="0" t="s">
        <v>62</v>
      </c>
      <c r="G8" s="0" t="s">
        <v>17</v>
      </c>
    </row>
    <row r="9" customFormat="false" ht="15" hidden="false" customHeight="false" outlineLevel="0" collapsed="false">
      <c r="A9" s="0" t="s">
        <v>63</v>
      </c>
      <c r="B9" s="0" t="s">
        <v>64</v>
      </c>
      <c r="C9" s="0" t="s">
        <v>65</v>
      </c>
      <c r="D9" s="0" t="s">
        <v>66</v>
      </c>
      <c r="E9" s="0" t="n">
        <v>3</v>
      </c>
      <c r="F9" s="0" t="s">
        <v>67</v>
      </c>
      <c r="G9" s="0" t="s">
        <v>20</v>
      </c>
    </row>
    <row r="10" customFormat="false" ht="15" hidden="false" customHeight="false" outlineLevel="0" collapsed="false">
      <c r="A10" s="0" t="s">
        <v>68</v>
      </c>
      <c r="B10" s="0" t="s">
        <v>69</v>
      </c>
      <c r="C10" s="0" t="s">
        <v>70</v>
      </c>
      <c r="D10" s="0" t="s">
        <v>36</v>
      </c>
      <c r="E10" s="0" t="n">
        <v>3</v>
      </c>
      <c r="F10" s="0" t="s">
        <v>71</v>
      </c>
      <c r="G10" s="0" t="s">
        <v>18</v>
      </c>
    </row>
    <row r="11" customFormat="false" ht="15" hidden="false" customHeight="false" outlineLevel="0" collapsed="false">
      <c r="A11" s="0" t="s">
        <v>72</v>
      </c>
      <c r="B11" s="0" t="s">
        <v>73</v>
      </c>
      <c r="C11" s="0" t="s">
        <v>74</v>
      </c>
      <c r="D11" s="0" t="s">
        <v>75</v>
      </c>
      <c r="E11" s="0" t="n">
        <v>4</v>
      </c>
      <c r="F11" s="0" t="s">
        <v>76</v>
      </c>
      <c r="G11" s="0" t="s">
        <v>18</v>
      </c>
    </row>
    <row r="12" customFormat="false" ht="15" hidden="false" customHeight="false" outlineLevel="0" collapsed="false">
      <c r="A12" s="0" t="s">
        <v>77</v>
      </c>
      <c r="B12" s="0" t="s">
        <v>78</v>
      </c>
      <c r="C12" s="0" t="s">
        <v>79</v>
      </c>
      <c r="D12" s="0" t="s">
        <v>80</v>
      </c>
      <c r="E12" s="0" t="n">
        <v>2</v>
      </c>
      <c r="F12" s="0" t="s">
        <v>81</v>
      </c>
      <c r="G12" s="0" t="s">
        <v>17</v>
      </c>
    </row>
    <row r="13" customFormat="false" ht="15" hidden="false" customHeight="false" outlineLevel="0" collapsed="false">
      <c r="A13" s="0" t="s">
        <v>82</v>
      </c>
      <c r="B13" s="0" t="s">
        <v>34</v>
      </c>
      <c r="C13" s="0" t="s">
        <v>83</v>
      </c>
      <c r="D13" s="0" t="s">
        <v>84</v>
      </c>
      <c r="E13" s="0" t="n">
        <v>2</v>
      </c>
      <c r="F13" s="0" t="s">
        <v>85</v>
      </c>
      <c r="G13" s="0" t="s">
        <v>17</v>
      </c>
    </row>
    <row r="14" customFormat="false" ht="15" hidden="false" customHeight="false" outlineLevel="0" collapsed="false">
      <c r="A14" s="0" t="s">
        <v>86</v>
      </c>
      <c r="B14" s="0" t="s">
        <v>87</v>
      </c>
      <c r="C14" s="0" t="s">
        <v>45</v>
      </c>
      <c r="D14" s="0" t="s">
        <v>88</v>
      </c>
      <c r="E14" s="0" t="n">
        <v>2</v>
      </c>
      <c r="F14" s="0" t="s">
        <v>89</v>
      </c>
      <c r="G14" s="0" t="s">
        <v>20</v>
      </c>
    </row>
    <row r="15" customFormat="false" ht="15" hidden="false" customHeight="false" outlineLevel="0" collapsed="false">
      <c r="A15" s="0" t="s">
        <v>90</v>
      </c>
      <c r="B15" s="0" t="s">
        <v>91</v>
      </c>
      <c r="C15" s="0" t="s">
        <v>92</v>
      </c>
      <c r="D15" s="0" t="s">
        <v>93</v>
      </c>
      <c r="E15" s="0" t="n">
        <v>2</v>
      </c>
      <c r="F15" s="0" t="s">
        <v>94</v>
      </c>
      <c r="G15" s="0" t="s">
        <v>20</v>
      </c>
    </row>
    <row r="16" customFormat="false" ht="15" hidden="false" customHeight="false" outlineLevel="0" collapsed="false">
      <c r="A16" s="0" t="s">
        <v>95</v>
      </c>
      <c r="B16" s="0" t="s">
        <v>96</v>
      </c>
      <c r="C16" s="0" t="s">
        <v>30</v>
      </c>
      <c r="D16" s="0" t="s">
        <v>97</v>
      </c>
      <c r="E16" s="0" t="n">
        <v>1</v>
      </c>
      <c r="F16" s="0" t="s">
        <v>98</v>
      </c>
      <c r="G16" s="0" t="s">
        <v>19</v>
      </c>
    </row>
    <row r="17" customFormat="false" ht="15" hidden="false" customHeight="false" outlineLevel="0" collapsed="false">
      <c r="A17" s="0" t="s">
        <v>99</v>
      </c>
      <c r="B17" s="0" t="s">
        <v>100</v>
      </c>
      <c r="C17" s="0" t="s">
        <v>101</v>
      </c>
      <c r="D17" s="0" t="s">
        <v>102</v>
      </c>
      <c r="E17" s="0" t="n">
        <v>1</v>
      </c>
      <c r="F17" s="0" t="s">
        <v>103</v>
      </c>
      <c r="G17" s="0" t="s">
        <v>20</v>
      </c>
    </row>
    <row r="18" customFormat="false" ht="15" hidden="false" customHeight="false" outlineLevel="0" collapsed="false">
      <c r="A18" s="0" t="s">
        <v>104</v>
      </c>
      <c r="B18" s="0" t="s">
        <v>105</v>
      </c>
      <c r="C18" s="0" t="s">
        <v>106</v>
      </c>
      <c r="D18" s="0" t="s">
        <v>41</v>
      </c>
      <c r="E18" s="0" t="n">
        <v>3</v>
      </c>
      <c r="F18" s="0" t="s">
        <v>107</v>
      </c>
      <c r="G18" s="0" t="s">
        <v>19</v>
      </c>
    </row>
    <row r="19" customFormat="false" ht="15" hidden="false" customHeight="false" outlineLevel="0" collapsed="false">
      <c r="A19" s="0" t="s">
        <v>108</v>
      </c>
      <c r="B19" s="0" t="s">
        <v>69</v>
      </c>
      <c r="C19" s="0" t="s">
        <v>109</v>
      </c>
      <c r="D19" s="0" t="s">
        <v>110</v>
      </c>
      <c r="E19" s="0" t="n">
        <v>4</v>
      </c>
      <c r="F19" s="0" t="s">
        <v>111</v>
      </c>
      <c r="G19" s="0" t="s">
        <v>20</v>
      </c>
    </row>
    <row r="20" customFormat="false" ht="15" hidden="false" customHeight="false" outlineLevel="0" collapsed="false">
      <c r="A20" s="0" t="s">
        <v>112</v>
      </c>
      <c r="B20" s="0" t="s">
        <v>113</v>
      </c>
      <c r="C20" s="0" t="s">
        <v>114</v>
      </c>
      <c r="D20" s="0" t="s">
        <v>110</v>
      </c>
      <c r="E20" s="0" t="n">
        <v>4</v>
      </c>
      <c r="F20" s="0" t="s">
        <v>115</v>
      </c>
      <c r="G20" s="0" t="s">
        <v>17</v>
      </c>
    </row>
    <row r="21" customFormat="false" ht="15" hidden="false" customHeight="false" outlineLevel="0" collapsed="false">
      <c r="A21" s="0" t="s">
        <v>116</v>
      </c>
      <c r="B21" s="0" t="s">
        <v>117</v>
      </c>
      <c r="C21" s="0" t="s">
        <v>118</v>
      </c>
      <c r="D21" s="0" t="s">
        <v>119</v>
      </c>
      <c r="E21" s="0" t="n">
        <v>3</v>
      </c>
      <c r="F21" s="0" t="s">
        <v>120</v>
      </c>
      <c r="G21" s="0" t="s">
        <v>20</v>
      </c>
    </row>
    <row r="22" customFormat="false" ht="15" hidden="false" customHeight="false" outlineLevel="0" collapsed="false">
      <c r="A22" s="0" t="s">
        <v>121</v>
      </c>
      <c r="B22" s="0" t="s">
        <v>122</v>
      </c>
      <c r="C22" s="0" t="s">
        <v>123</v>
      </c>
      <c r="D22" s="0" t="s">
        <v>124</v>
      </c>
      <c r="E22" s="0" t="n">
        <v>1</v>
      </c>
      <c r="F22" s="0" t="s">
        <v>125</v>
      </c>
      <c r="G22" s="0" t="s">
        <v>20</v>
      </c>
    </row>
    <row r="23" customFormat="false" ht="15" hidden="false" customHeight="false" outlineLevel="0" collapsed="false">
      <c r="A23" s="0" t="s">
        <v>126</v>
      </c>
      <c r="B23" s="0" t="s">
        <v>127</v>
      </c>
      <c r="C23" s="0" t="s">
        <v>128</v>
      </c>
      <c r="D23" s="0" t="s">
        <v>129</v>
      </c>
      <c r="E23" s="0" t="n">
        <v>3</v>
      </c>
      <c r="F23" s="0" t="s">
        <v>130</v>
      </c>
      <c r="G23" s="0" t="s">
        <v>17</v>
      </c>
    </row>
    <row r="24" customFormat="false" ht="15" hidden="false" customHeight="false" outlineLevel="0" collapsed="false">
      <c r="A24" s="0" t="s">
        <v>131</v>
      </c>
      <c r="B24" s="0" t="s">
        <v>132</v>
      </c>
      <c r="C24" s="0" t="s">
        <v>133</v>
      </c>
      <c r="D24" s="0" t="s">
        <v>134</v>
      </c>
      <c r="E24" s="0" t="n">
        <v>4</v>
      </c>
      <c r="F24" s="0" t="s">
        <v>81</v>
      </c>
      <c r="G24" s="0" t="s">
        <v>20</v>
      </c>
    </row>
    <row r="25" customFormat="false" ht="15" hidden="false" customHeight="false" outlineLevel="0" collapsed="false">
      <c r="A25" s="0" t="s">
        <v>135</v>
      </c>
      <c r="B25" s="0" t="s">
        <v>136</v>
      </c>
      <c r="C25" s="0" t="s">
        <v>137</v>
      </c>
      <c r="D25" s="0" t="s">
        <v>138</v>
      </c>
      <c r="E25" s="0" t="n">
        <v>2</v>
      </c>
      <c r="F25" s="0" t="s">
        <v>139</v>
      </c>
      <c r="G25" s="0" t="s">
        <v>19</v>
      </c>
    </row>
    <row r="26" customFormat="false" ht="15" hidden="false" customHeight="false" outlineLevel="0" collapsed="false">
      <c r="A26" s="0" t="s">
        <v>140</v>
      </c>
      <c r="B26" s="0" t="s">
        <v>141</v>
      </c>
      <c r="C26" s="0" t="s">
        <v>142</v>
      </c>
      <c r="D26" s="0" t="s">
        <v>143</v>
      </c>
      <c r="E26" s="0" t="n">
        <v>4</v>
      </c>
      <c r="F26" s="0" t="s">
        <v>42</v>
      </c>
      <c r="G26" s="0" t="s">
        <v>20</v>
      </c>
    </row>
    <row r="27" customFormat="false" ht="15" hidden="false" customHeight="false" outlineLevel="0" collapsed="false">
      <c r="A27" s="0" t="s">
        <v>144</v>
      </c>
      <c r="B27" s="0" t="s">
        <v>145</v>
      </c>
      <c r="C27" s="0" t="s">
        <v>114</v>
      </c>
      <c r="D27" s="0" t="s">
        <v>146</v>
      </c>
      <c r="E27" s="0" t="n">
        <v>3</v>
      </c>
      <c r="F27" s="0" t="s">
        <v>147</v>
      </c>
      <c r="G27" s="0" t="s">
        <v>20</v>
      </c>
    </row>
    <row r="28" customFormat="false" ht="15" hidden="false" customHeight="false" outlineLevel="0" collapsed="false">
      <c r="A28" s="0" t="s">
        <v>148</v>
      </c>
      <c r="B28" s="0" t="s">
        <v>149</v>
      </c>
      <c r="C28" s="0" t="s">
        <v>150</v>
      </c>
      <c r="D28" s="0" t="s">
        <v>151</v>
      </c>
      <c r="E28" s="0" t="n">
        <v>1</v>
      </c>
      <c r="F28" s="0" t="s">
        <v>152</v>
      </c>
      <c r="G28" s="0" t="s">
        <v>19</v>
      </c>
    </row>
    <row r="29" customFormat="false" ht="15" hidden="false" customHeight="false" outlineLevel="0" collapsed="false">
      <c r="A29" s="0" t="s">
        <v>153</v>
      </c>
      <c r="B29" s="0" t="s">
        <v>154</v>
      </c>
      <c r="C29" s="0" t="s">
        <v>133</v>
      </c>
      <c r="D29" s="0" t="s">
        <v>155</v>
      </c>
      <c r="E29" s="0" t="n">
        <v>2</v>
      </c>
      <c r="F29" s="0" t="s">
        <v>156</v>
      </c>
      <c r="G29" s="0" t="s">
        <v>18</v>
      </c>
    </row>
    <row r="30" customFormat="false" ht="15" hidden="false" customHeight="false" outlineLevel="0" collapsed="false">
      <c r="A30" s="0" t="s">
        <v>157</v>
      </c>
      <c r="B30" s="0" t="s">
        <v>158</v>
      </c>
      <c r="C30" s="0" t="s">
        <v>159</v>
      </c>
      <c r="D30" s="0" t="s">
        <v>160</v>
      </c>
      <c r="E30" s="0" t="n">
        <v>4</v>
      </c>
      <c r="F30" s="0" t="s">
        <v>161</v>
      </c>
      <c r="G30" s="0" t="s">
        <v>20</v>
      </c>
    </row>
    <row r="31" customFormat="false" ht="15" hidden="false" customHeight="false" outlineLevel="0" collapsed="false">
      <c r="A31" s="0" t="s">
        <v>162</v>
      </c>
      <c r="B31" s="0" t="s">
        <v>163</v>
      </c>
      <c r="C31" s="0" t="s">
        <v>164</v>
      </c>
      <c r="D31" s="0" t="s">
        <v>165</v>
      </c>
      <c r="E31" s="0" t="n">
        <v>1</v>
      </c>
      <c r="F31" s="0" t="s">
        <v>166</v>
      </c>
      <c r="G31" s="0" t="s">
        <v>20</v>
      </c>
    </row>
    <row r="32" customFormat="false" ht="15" hidden="false" customHeight="false" outlineLevel="0" collapsed="false">
      <c r="A32" s="0" t="s">
        <v>167</v>
      </c>
      <c r="B32" s="0" t="s">
        <v>168</v>
      </c>
      <c r="C32" s="0" t="s">
        <v>169</v>
      </c>
      <c r="D32" s="0" t="s">
        <v>170</v>
      </c>
      <c r="E32" s="0" t="n">
        <v>3</v>
      </c>
      <c r="F32" s="0" t="s">
        <v>171</v>
      </c>
      <c r="G32" s="0" t="s">
        <v>19</v>
      </c>
    </row>
    <row r="33" customFormat="false" ht="15" hidden="false" customHeight="false" outlineLevel="0" collapsed="false">
      <c r="A33" s="0" t="s">
        <v>172</v>
      </c>
      <c r="B33" s="0" t="s">
        <v>173</v>
      </c>
      <c r="C33" s="0" t="s">
        <v>174</v>
      </c>
      <c r="D33" s="0" t="s">
        <v>66</v>
      </c>
      <c r="E33" s="0" t="n">
        <v>1</v>
      </c>
      <c r="F33" s="0" t="s">
        <v>67</v>
      </c>
      <c r="G33" s="0" t="s">
        <v>19</v>
      </c>
    </row>
    <row r="34" customFormat="false" ht="15" hidden="false" customHeight="false" outlineLevel="0" collapsed="false">
      <c r="A34" s="0" t="s">
        <v>175</v>
      </c>
      <c r="B34" s="0" t="s">
        <v>176</v>
      </c>
      <c r="C34" s="0" t="s">
        <v>128</v>
      </c>
      <c r="D34" s="0" t="s">
        <v>177</v>
      </c>
      <c r="E34" s="0" t="n">
        <v>1</v>
      </c>
      <c r="F34" s="0" t="s">
        <v>178</v>
      </c>
      <c r="G34" s="0" t="s">
        <v>19</v>
      </c>
    </row>
    <row r="35" customFormat="false" ht="15" hidden="false" customHeight="false" outlineLevel="0" collapsed="false">
      <c r="A35" s="0" t="s">
        <v>179</v>
      </c>
      <c r="B35" s="0" t="s">
        <v>180</v>
      </c>
      <c r="C35" s="0" t="s">
        <v>123</v>
      </c>
      <c r="D35" s="0" t="s">
        <v>46</v>
      </c>
      <c r="E35" s="0" t="n">
        <v>2</v>
      </c>
      <c r="F35" s="0" t="s">
        <v>181</v>
      </c>
      <c r="G35" s="0" t="s">
        <v>17</v>
      </c>
    </row>
    <row r="36" customFormat="false" ht="15" hidden="false" customHeight="false" outlineLevel="0" collapsed="false">
      <c r="A36" s="0" t="s">
        <v>182</v>
      </c>
      <c r="B36" s="0" t="s">
        <v>183</v>
      </c>
      <c r="C36" s="0" t="s">
        <v>40</v>
      </c>
      <c r="D36" s="0" t="s">
        <v>110</v>
      </c>
      <c r="E36" s="0" t="n">
        <v>1</v>
      </c>
      <c r="F36" s="0" t="s">
        <v>115</v>
      </c>
      <c r="G36" s="0" t="s">
        <v>17</v>
      </c>
    </row>
    <row r="37" customFormat="false" ht="15" hidden="false" customHeight="false" outlineLevel="0" collapsed="false">
      <c r="A37" s="0" t="s">
        <v>184</v>
      </c>
      <c r="B37" s="0" t="s">
        <v>185</v>
      </c>
      <c r="C37" s="0" t="s">
        <v>79</v>
      </c>
      <c r="D37" s="0" t="s">
        <v>129</v>
      </c>
      <c r="E37" s="0" t="n">
        <v>1</v>
      </c>
      <c r="F37" s="0" t="s">
        <v>130</v>
      </c>
      <c r="G37" s="0" t="s">
        <v>19</v>
      </c>
    </row>
    <row r="38" customFormat="false" ht="15" hidden="false" customHeight="false" outlineLevel="0" collapsed="false">
      <c r="A38" s="0" t="s">
        <v>186</v>
      </c>
      <c r="B38" s="0" t="s">
        <v>187</v>
      </c>
      <c r="C38" s="0" t="s">
        <v>188</v>
      </c>
      <c r="D38" s="0" t="s">
        <v>189</v>
      </c>
      <c r="E38" s="0" t="n">
        <v>3</v>
      </c>
      <c r="F38" s="0" t="s">
        <v>190</v>
      </c>
      <c r="G38" s="0" t="s">
        <v>17</v>
      </c>
    </row>
    <row r="39" customFormat="false" ht="15" hidden="false" customHeight="false" outlineLevel="0" collapsed="false">
      <c r="A39" s="0" t="s">
        <v>191</v>
      </c>
      <c r="B39" s="0" t="s">
        <v>192</v>
      </c>
      <c r="C39" s="0" t="s">
        <v>123</v>
      </c>
      <c r="D39" s="0" t="s">
        <v>170</v>
      </c>
      <c r="E39" s="0" t="n">
        <v>4</v>
      </c>
      <c r="F39" s="0" t="s">
        <v>193</v>
      </c>
      <c r="G39" s="0" t="s">
        <v>18</v>
      </c>
    </row>
    <row r="40" customFormat="false" ht="15" hidden="false" customHeight="false" outlineLevel="0" collapsed="false">
      <c r="A40" s="0" t="s">
        <v>194</v>
      </c>
      <c r="B40" s="0" t="s">
        <v>195</v>
      </c>
      <c r="C40" s="0" t="s">
        <v>196</v>
      </c>
      <c r="D40" s="0" t="s">
        <v>36</v>
      </c>
      <c r="E40" s="0" t="n">
        <v>2</v>
      </c>
      <c r="F40" s="0" t="s">
        <v>166</v>
      </c>
      <c r="G40" s="0" t="s">
        <v>18</v>
      </c>
    </row>
    <row r="41" customFormat="false" ht="15" hidden="false" customHeight="false" outlineLevel="0" collapsed="false">
      <c r="A41" s="0" t="s">
        <v>197</v>
      </c>
      <c r="B41" s="0" t="s">
        <v>44</v>
      </c>
      <c r="C41" s="0" t="s">
        <v>159</v>
      </c>
      <c r="D41" s="0" t="s">
        <v>198</v>
      </c>
      <c r="E41" s="0" t="n">
        <v>1</v>
      </c>
      <c r="F41" s="0" t="s">
        <v>120</v>
      </c>
      <c r="G41" s="0" t="s">
        <v>19</v>
      </c>
    </row>
    <row r="42" customFormat="false" ht="15" hidden="false" customHeight="false" outlineLevel="0" collapsed="false">
      <c r="A42" s="0" t="s">
        <v>199</v>
      </c>
      <c r="B42" s="0" t="s">
        <v>200</v>
      </c>
      <c r="C42" s="0" t="s">
        <v>174</v>
      </c>
      <c r="D42" s="0" t="s">
        <v>201</v>
      </c>
      <c r="E42" s="0" t="n">
        <v>4</v>
      </c>
      <c r="F42" s="0" t="s">
        <v>202</v>
      </c>
      <c r="G42" s="0" t="s">
        <v>17</v>
      </c>
    </row>
    <row r="43" customFormat="false" ht="15" hidden="false" customHeight="false" outlineLevel="0" collapsed="false">
      <c r="A43" s="0" t="s">
        <v>203</v>
      </c>
      <c r="B43" s="0" t="s">
        <v>132</v>
      </c>
      <c r="C43" s="0" t="s">
        <v>137</v>
      </c>
      <c r="D43" s="0" t="s">
        <v>204</v>
      </c>
      <c r="E43" s="0" t="n">
        <v>4</v>
      </c>
      <c r="F43" s="0" t="s">
        <v>205</v>
      </c>
      <c r="G43" s="0" t="s">
        <v>20</v>
      </c>
    </row>
    <row r="44" customFormat="false" ht="15" hidden="false" customHeight="false" outlineLevel="0" collapsed="false">
      <c r="A44" s="0" t="s">
        <v>206</v>
      </c>
      <c r="B44" s="0" t="s">
        <v>207</v>
      </c>
      <c r="C44" s="0" t="s">
        <v>196</v>
      </c>
      <c r="D44" s="0" t="s">
        <v>80</v>
      </c>
      <c r="E44" s="0" t="n">
        <v>3</v>
      </c>
      <c r="F44" s="0" t="s">
        <v>32</v>
      </c>
      <c r="G44" s="0" t="s">
        <v>20</v>
      </c>
    </row>
    <row r="45" customFormat="false" ht="15" hidden="false" customHeight="false" outlineLevel="0" collapsed="false">
      <c r="A45" s="0" t="s">
        <v>208</v>
      </c>
      <c r="B45" s="0" t="s">
        <v>209</v>
      </c>
      <c r="C45" s="0" t="s">
        <v>118</v>
      </c>
      <c r="D45" s="0" t="s">
        <v>201</v>
      </c>
      <c r="E45" s="0" t="n">
        <v>2</v>
      </c>
      <c r="F45" s="0" t="s">
        <v>210</v>
      </c>
      <c r="G45" s="0" t="s">
        <v>18</v>
      </c>
    </row>
    <row r="46" customFormat="false" ht="15" hidden="false" customHeight="false" outlineLevel="0" collapsed="false">
      <c r="A46" s="0" t="s">
        <v>211</v>
      </c>
      <c r="B46" s="0" t="s">
        <v>212</v>
      </c>
      <c r="C46" s="0" t="s">
        <v>45</v>
      </c>
      <c r="D46" s="0" t="s">
        <v>213</v>
      </c>
      <c r="E46" s="0" t="n">
        <v>3</v>
      </c>
      <c r="F46" s="0" t="s">
        <v>210</v>
      </c>
      <c r="G46" s="0" t="s">
        <v>20</v>
      </c>
    </row>
    <row r="47" customFormat="false" ht="15" hidden="false" customHeight="false" outlineLevel="0" collapsed="false">
      <c r="A47" s="0" t="s">
        <v>214</v>
      </c>
      <c r="B47" s="0" t="s">
        <v>215</v>
      </c>
      <c r="C47" s="0" t="s">
        <v>60</v>
      </c>
      <c r="D47" s="0" t="s">
        <v>216</v>
      </c>
      <c r="E47" s="0" t="n">
        <v>3</v>
      </c>
      <c r="F47" s="0" t="s">
        <v>217</v>
      </c>
      <c r="G47" s="0" t="s">
        <v>20</v>
      </c>
    </row>
    <row r="48" customFormat="false" ht="15" hidden="false" customHeight="false" outlineLevel="0" collapsed="false">
      <c r="A48" s="0" t="s">
        <v>218</v>
      </c>
      <c r="B48" s="0" t="s">
        <v>219</v>
      </c>
      <c r="C48" s="0" t="s">
        <v>150</v>
      </c>
      <c r="D48" s="0" t="s">
        <v>220</v>
      </c>
      <c r="E48" s="0" t="n">
        <v>4</v>
      </c>
      <c r="F48" s="0" t="s">
        <v>221</v>
      </c>
      <c r="G48" s="0" t="s">
        <v>18</v>
      </c>
    </row>
    <row r="49" customFormat="false" ht="15" hidden="false" customHeight="false" outlineLevel="0" collapsed="false">
      <c r="A49" s="0" t="s">
        <v>222</v>
      </c>
      <c r="B49" s="0" t="s">
        <v>223</v>
      </c>
      <c r="C49" s="0" t="s">
        <v>164</v>
      </c>
      <c r="D49" s="0" t="s">
        <v>36</v>
      </c>
      <c r="E49" s="0" t="n">
        <v>3</v>
      </c>
      <c r="F49" s="0" t="s">
        <v>37</v>
      </c>
      <c r="G49" s="0" t="s">
        <v>17</v>
      </c>
    </row>
    <row r="50" customFormat="false" ht="15" hidden="false" customHeight="false" outlineLevel="0" collapsed="false">
      <c r="A50" s="0" t="s">
        <v>224</v>
      </c>
      <c r="B50" s="0" t="s">
        <v>225</v>
      </c>
      <c r="C50" s="0" t="s">
        <v>35</v>
      </c>
      <c r="D50" s="0" t="s">
        <v>165</v>
      </c>
      <c r="E50" s="0" t="n">
        <v>2</v>
      </c>
      <c r="F50" s="0" t="s">
        <v>166</v>
      </c>
      <c r="G50" s="0" t="s">
        <v>20</v>
      </c>
    </row>
    <row r="51" customFormat="false" ht="15" hidden="false" customHeight="false" outlineLevel="0" collapsed="false">
      <c r="A51" s="0" t="s">
        <v>226</v>
      </c>
      <c r="B51" s="0" t="s">
        <v>227</v>
      </c>
      <c r="C51" s="0" t="s">
        <v>228</v>
      </c>
      <c r="D51" s="0" t="s">
        <v>229</v>
      </c>
      <c r="E51" s="0" t="n">
        <v>4</v>
      </c>
      <c r="F51" s="0" t="s">
        <v>230</v>
      </c>
      <c r="G51" s="0" t="s">
        <v>19</v>
      </c>
    </row>
    <row r="52" customFormat="false" ht="15" hidden="false" customHeight="false" outlineLevel="0" collapsed="false">
      <c r="A52" s="0" t="s">
        <v>231</v>
      </c>
      <c r="B52" s="0" t="s">
        <v>232</v>
      </c>
      <c r="C52" s="0" t="s">
        <v>233</v>
      </c>
      <c r="D52" s="0" t="s">
        <v>234</v>
      </c>
      <c r="E52" s="0" t="n">
        <v>4</v>
      </c>
      <c r="F52" s="0" t="s">
        <v>235</v>
      </c>
      <c r="G52" s="0" t="s">
        <v>19</v>
      </c>
    </row>
    <row r="53" customFormat="false" ht="15" hidden="false" customHeight="false" outlineLevel="0" collapsed="false">
      <c r="A53" s="0" t="s">
        <v>157</v>
      </c>
      <c r="B53" s="0" t="s">
        <v>158</v>
      </c>
      <c r="C53" s="0" t="s">
        <v>159</v>
      </c>
      <c r="D53" s="0" t="s">
        <v>160</v>
      </c>
      <c r="E53" s="0" t="n">
        <v>4</v>
      </c>
      <c r="F53" s="0" t="s">
        <v>161</v>
      </c>
      <c r="G53" s="0" t="s">
        <v>20</v>
      </c>
    </row>
    <row r="54" customFormat="false" ht="15" hidden="false" customHeight="false" outlineLevel="0" collapsed="false">
      <c r="A54" s="0" t="s">
        <v>236</v>
      </c>
      <c r="B54" s="0" t="s">
        <v>237</v>
      </c>
      <c r="C54" s="0" t="s">
        <v>238</v>
      </c>
      <c r="D54" s="0" t="s">
        <v>239</v>
      </c>
      <c r="E54" s="0" t="n">
        <v>1</v>
      </c>
      <c r="F54" s="0" t="s">
        <v>240</v>
      </c>
      <c r="G54" s="0" t="s">
        <v>19</v>
      </c>
    </row>
    <row r="55" customFormat="false" ht="15" hidden="false" customHeight="false" outlineLevel="0" collapsed="false">
      <c r="A55" s="0" t="s">
        <v>241</v>
      </c>
      <c r="B55" s="0" t="s">
        <v>242</v>
      </c>
      <c r="C55" s="0" t="s">
        <v>243</v>
      </c>
      <c r="D55" s="0" t="s">
        <v>244</v>
      </c>
      <c r="E55" s="0" t="n">
        <v>4</v>
      </c>
      <c r="F55" s="0" t="s">
        <v>245</v>
      </c>
      <c r="G55" s="0" t="s">
        <v>19</v>
      </c>
    </row>
    <row r="56" customFormat="false" ht="15" hidden="false" customHeight="false" outlineLevel="0" collapsed="false">
      <c r="A56" s="0" t="s">
        <v>246</v>
      </c>
      <c r="B56" s="0" t="s">
        <v>247</v>
      </c>
      <c r="C56" s="0" t="s">
        <v>133</v>
      </c>
      <c r="D56" s="0" t="s">
        <v>165</v>
      </c>
      <c r="E56" s="0" t="n">
        <v>3</v>
      </c>
      <c r="F56" s="0" t="s">
        <v>71</v>
      </c>
      <c r="G56" s="0" t="s">
        <v>18</v>
      </c>
    </row>
    <row r="57" customFormat="false" ht="15" hidden="false" customHeight="false" outlineLevel="0" collapsed="false">
      <c r="A57" s="0" t="s">
        <v>248</v>
      </c>
      <c r="B57" s="0" t="s">
        <v>249</v>
      </c>
      <c r="C57" s="0" t="s">
        <v>250</v>
      </c>
      <c r="D57" s="0" t="s">
        <v>124</v>
      </c>
      <c r="E57" s="0" t="n">
        <v>4</v>
      </c>
      <c r="F57" s="0" t="s">
        <v>125</v>
      </c>
      <c r="G57" s="0" t="s">
        <v>18</v>
      </c>
    </row>
    <row r="58" customFormat="false" ht="15" hidden="false" customHeight="false" outlineLevel="0" collapsed="false">
      <c r="A58" s="0" t="s">
        <v>251</v>
      </c>
      <c r="B58" s="0" t="s">
        <v>252</v>
      </c>
      <c r="C58" s="0" t="s">
        <v>253</v>
      </c>
      <c r="D58" s="0" t="s">
        <v>88</v>
      </c>
      <c r="E58" s="0" t="n">
        <v>1</v>
      </c>
      <c r="F58" s="0" t="s">
        <v>89</v>
      </c>
      <c r="G58" s="0" t="s">
        <v>17</v>
      </c>
    </row>
    <row r="59" customFormat="false" ht="15" hidden="false" customHeight="false" outlineLevel="0" collapsed="false">
      <c r="A59" s="0" t="s">
        <v>254</v>
      </c>
      <c r="B59" s="0" t="s">
        <v>255</v>
      </c>
      <c r="C59" s="0" t="s">
        <v>256</v>
      </c>
      <c r="D59" s="0" t="s">
        <v>257</v>
      </c>
      <c r="E59" s="0" t="n">
        <v>2</v>
      </c>
      <c r="F59" s="0" t="s">
        <v>42</v>
      </c>
      <c r="G59" s="0" t="s">
        <v>18</v>
      </c>
    </row>
    <row r="60" customFormat="false" ht="15" hidden="false" customHeight="false" outlineLevel="0" collapsed="false">
      <c r="A60" s="0" t="s">
        <v>258</v>
      </c>
      <c r="B60" s="0" t="s">
        <v>64</v>
      </c>
      <c r="C60" s="0" t="s">
        <v>174</v>
      </c>
      <c r="D60" s="0" t="s">
        <v>259</v>
      </c>
      <c r="E60" s="0" t="n">
        <v>1</v>
      </c>
      <c r="F60" s="0" t="s">
        <v>260</v>
      </c>
      <c r="G60" s="0" t="s">
        <v>19</v>
      </c>
    </row>
    <row r="61" customFormat="false" ht="15" hidden="false" customHeight="false" outlineLevel="0" collapsed="false">
      <c r="A61" s="0" t="s">
        <v>261</v>
      </c>
      <c r="B61" s="0" t="s">
        <v>262</v>
      </c>
      <c r="C61" s="0" t="s">
        <v>133</v>
      </c>
      <c r="D61" s="0" t="s">
        <v>80</v>
      </c>
      <c r="E61" s="0" t="n">
        <v>2</v>
      </c>
      <c r="F61" s="0" t="s">
        <v>81</v>
      </c>
      <c r="G61" s="0" t="s">
        <v>19</v>
      </c>
    </row>
    <row r="62" customFormat="false" ht="15" hidden="false" customHeight="false" outlineLevel="0" collapsed="false">
      <c r="A62" s="0" t="s">
        <v>263</v>
      </c>
      <c r="B62" s="0" t="s">
        <v>264</v>
      </c>
      <c r="C62" s="0" t="s">
        <v>70</v>
      </c>
      <c r="D62" s="0" t="s">
        <v>93</v>
      </c>
      <c r="E62" s="0" t="n">
        <v>2</v>
      </c>
      <c r="F62" s="0" t="s">
        <v>94</v>
      </c>
      <c r="G62" s="0" t="s">
        <v>17</v>
      </c>
    </row>
    <row r="63" customFormat="false" ht="15" hidden="false" customHeight="false" outlineLevel="0" collapsed="false">
      <c r="A63" s="0" t="s">
        <v>265</v>
      </c>
      <c r="B63" s="0" t="s">
        <v>266</v>
      </c>
      <c r="C63" s="0" t="s">
        <v>267</v>
      </c>
      <c r="D63" s="0" t="s">
        <v>239</v>
      </c>
      <c r="E63" s="0" t="n">
        <v>4</v>
      </c>
      <c r="F63" s="0" t="s">
        <v>268</v>
      </c>
      <c r="G63" s="0" t="s">
        <v>20</v>
      </c>
    </row>
    <row r="64" customFormat="false" ht="15" hidden="false" customHeight="false" outlineLevel="0" collapsed="false">
      <c r="A64" s="0" t="s">
        <v>269</v>
      </c>
      <c r="B64" s="0" t="s">
        <v>270</v>
      </c>
      <c r="C64" s="0" t="s">
        <v>114</v>
      </c>
      <c r="D64" s="0" t="s">
        <v>198</v>
      </c>
      <c r="E64" s="0" t="n">
        <v>3</v>
      </c>
      <c r="F64" s="0" t="s">
        <v>120</v>
      </c>
      <c r="G64" s="0" t="s">
        <v>18</v>
      </c>
    </row>
    <row r="65" customFormat="false" ht="15" hidden="false" customHeight="false" outlineLevel="0" collapsed="false">
      <c r="A65" s="0" t="s">
        <v>271</v>
      </c>
      <c r="B65" s="0" t="s">
        <v>272</v>
      </c>
      <c r="C65" s="0" t="s">
        <v>174</v>
      </c>
      <c r="D65" s="0" t="s">
        <v>129</v>
      </c>
      <c r="E65" s="0" t="n">
        <v>2</v>
      </c>
      <c r="F65" s="0" t="s">
        <v>130</v>
      </c>
      <c r="G65" s="0" t="s">
        <v>18</v>
      </c>
    </row>
    <row r="66" customFormat="false" ht="15" hidden="false" customHeight="false" outlineLevel="0" collapsed="false">
      <c r="A66" s="0" t="s">
        <v>273</v>
      </c>
      <c r="B66" s="0" t="s">
        <v>274</v>
      </c>
      <c r="C66" s="0" t="s">
        <v>243</v>
      </c>
      <c r="D66" s="0" t="s">
        <v>56</v>
      </c>
      <c r="E66" s="0" t="n">
        <v>3</v>
      </c>
      <c r="F66" s="0" t="s">
        <v>275</v>
      </c>
      <c r="G66" s="0" t="s">
        <v>17</v>
      </c>
    </row>
    <row r="67" customFormat="false" ht="15" hidden="false" customHeight="false" outlineLevel="0" collapsed="false">
      <c r="A67" s="0" t="s">
        <v>276</v>
      </c>
      <c r="B67" s="0" t="s">
        <v>277</v>
      </c>
      <c r="C67" s="0" t="s">
        <v>164</v>
      </c>
      <c r="D67" s="0" t="s">
        <v>239</v>
      </c>
      <c r="E67" s="0" t="n">
        <v>2</v>
      </c>
      <c r="F67" s="0" t="s">
        <v>268</v>
      </c>
      <c r="G67" s="0" t="s">
        <v>17</v>
      </c>
    </row>
    <row r="68" customFormat="false" ht="15" hidden="false" customHeight="false" outlineLevel="0" collapsed="false">
      <c r="A68" s="0" t="s">
        <v>278</v>
      </c>
      <c r="B68" s="0" t="s">
        <v>279</v>
      </c>
      <c r="C68" s="0" t="s">
        <v>253</v>
      </c>
      <c r="D68" s="0" t="s">
        <v>124</v>
      </c>
      <c r="E68" s="0" t="n">
        <v>4</v>
      </c>
      <c r="F68" s="0" t="s">
        <v>260</v>
      </c>
      <c r="G68" s="0" t="s">
        <v>20</v>
      </c>
    </row>
    <row r="69" customFormat="false" ht="15" hidden="false" customHeight="false" outlineLevel="0" collapsed="false">
      <c r="A69" s="0" t="s">
        <v>280</v>
      </c>
      <c r="B69" s="0" t="s">
        <v>281</v>
      </c>
      <c r="C69" s="0" t="s">
        <v>174</v>
      </c>
      <c r="D69" s="0" t="s">
        <v>282</v>
      </c>
      <c r="E69" s="0" t="n">
        <v>4</v>
      </c>
      <c r="F69" s="0" t="s">
        <v>283</v>
      </c>
      <c r="G69" s="0" t="s">
        <v>18</v>
      </c>
    </row>
    <row r="70" customFormat="false" ht="15" hidden="false" customHeight="false" outlineLevel="0" collapsed="false">
      <c r="A70" s="0" t="s">
        <v>284</v>
      </c>
      <c r="B70" s="0" t="s">
        <v>285</v>
      </c>
      <c r="C70" s="0" t="s">
        <v>267</v>
      </c>
      <c r="D70" s="0" t="s">
        <v>36</v>
      </c>
      <c r="E70" s="0" t="n">
        <v>4</v>
      </c>
      <c r="F70" s="0" t="s">
        <v>37</v>
      </c>
      <c r="G70" s="0" t="s">
        <v>18</v>
      </c>
    </row>
    <row r="71" customFormat="false" ht="15" hidden="false" customHeight="false" outlineLevel="0" collapsed="false">
      <c r="A71" s="0" t="s">
        <v>286</v>
      </c>
      <c r="B71" s="0" t="s">
        <v>212</v>
      </c>
      <c r="C71" s="0" t="s">
        <v>233</v>
      </c>
      <c r="D71" s="0" t="s">
        <v>198</v>
      </c>
      <c r="E71" s="0" t="n">
        <v>3</v>
      </c>
      <c r="F71" s="0" t="s">
        <v>120</v>
      </c>
      <c r="G71" s="0" t="s">
        <v>18</v>
      </c>
    </row>
    <row r="72" customFormat="false" ht="15" hidden="false" customHeight="false" outlineLevel="0" collapsed="false">
      <c r="A72" s="0" t="s">
        <v>287</v>
      </c>
      <c r="B72" s="0" t="s">
        <v>288</v>
      </c>
      <c r="C72" s="0" t="s">
        <v>196</v>
      </c>
      <c r="D72" s="0" t="s">
        <v>289</v>
      </c>
      <c r="E72" s="0" t="n">
        <v>3</v>
      </c>
      <c r="F72" s="0" t="s">
        <v>290</v>
      </c>
      <c r="G72" s="0" t="s">
        <v>18</v>
      </c>
    </row>
    <row r="73" customFormat="false" ht="15" hidden="false" customHeight="false" outlineLevel="0" collapsed="false">
      <c r="A73" s="0" t="s">
        <v>291</v>
      </c>
      <c r="B73" s="0" t="s">
        <v>292</v>
      </c>
      <c r="C73" s="0" t="s">
        <v>137</v>
      </c>
      <c r="D73" s="0" t="s">
        <v>259</v>
      </c>
      <c r="E73" s="0" t="n">
        <v>3</v>
      </c>
      <c r="F73" s="0" t="s">
        <v>260</v>
      </c>
      <c r="G73" s="0" t="s">
        <v>17</v>
      </c>
    </row>
    <row r="74" customFormat="false" ht="15" hidden="false" customHeight="false" outlineLevel="0" collapsed="false">
      <c r="A74" s="0" t="s">
        <v>293</v>
      </c>
      <c r="B74" s="0" t="s">
        <v>294</v>
      </c>
      <c r="C74" s="0" t="s">
        <v>295</v>
      </c>
      <c r="D74" s="0" t="s">
        <v>213</v>
      </c>
      <c r="E74" s="0" t="n">
        <v>3</v>
      </c>
      <c r="F74" s="0" t="s">
        <v>296</v>
      </c>
      <c r="G74" s="0" t="s">
        <v>19</v>
      </c>
    </row>
    <row r="75" customFormat="false" ht="15" hidden="false" customHeight="false" outlineLevel="0" collapsed="false">
      <c r="A75" s="0" t="s">
        <v>297</v>
      </c>
      <c r="B75" s="0" t="s">
        <v>298</v>
      </c>
      <c r="C75" s="0" t="s">
        <v>133</v>
      </c>
      <c r="D75" s="0" t="s">
        <v>299</v>
      </c>
      <c r="E75" s="0" t="n">
        <v>2</v>
      </c>
      <c r="F75" s="0" t="s">
        <v>161</v>
      </c>
      <c r="G75" s="0" t="s">
        <v>17</v>
      </c>
    </row>
    <row r="76" customFormat="false" ht="15" hidden="false" customHeight="false" outlineLevel="0" collapsed="false">
      <c r="A76" s="0" t="s">
        <v>300</v>
      </c>
      <c r="B76" s="0" t="s">
        <v>127</v>
      </c>
      <c r="C76" s="0" t="s">
        <v>301</v>
      </c>
      <c r="D76" s="0" t="s">
        <v>302</v>
      </c>
      <c r="E76" s="0" t="n">
        <v>3</v>
      </c>
      <c r="F76" s="0" t="s">
        <v>303</v>
      </c>
      <c r="G76" s="0" t="s">
        <v>17</v>
      </c>
    </row>
    <row r="77" customFormat="false" ht="15" hidden="false" customHeight="false" outlineLevel="0" collapsed="false">
      <c r="A77" s="0" t="s">
        <v>304</v>
      </c>
      <c r="B77" s="0" t="s">
        <v>305</v>
      </c>
      <c r="C77" s="0" t="s">
        <v>45</v>
      </c>
      <c r="D77" s="0" t="s">
        <v>306</v>
      </c>
      <c r="E77" s="0" t="n">
        <v>3</v>
      </c>
      <c r="F77" s="0" t="s">
        <v>120</v>
      </c>
      <c r="G77" s="0" t="s">
        <v>18</v>
      </c>
    </row>
    <row r="78" customFormat="false" ht="15" hidden="false" customHeight="false" outlineLevel="0" collapsed="false">
      <c r="A78" s="0" t="s">
        <v>307</v>
      </c>
      <c r="B78" s="0" t="s">
        <v>308</v>
      </c>
      <c r="C78" s="0" t="s">
        <v>159</v>
      </c>
      <c r="D78" s="0" t="s">
        <v>309</v>
      </c>
      <c r="E78" s="0" t="n">
        <v>2</v>
      </c>
      <c r="F78" s="0" t="s">
        <v>85</v>
      </c>
      <c r="G78" s="0" t="s">
        <v>20</v>
      </c>
    </row>
    <row r="79" customFormat="false" ht="15" hidden="false" customHeight="false" outlineLevel="0" collapsed="false">
      <c r="A79" s="0" t="s">
        <v>310</v>
      </c>
      <c r="B79" s="0" t="s">
        <v>311</v>
      </c>
      <c r="C79" s="0" t="s">
        <v>50</v>
      </c>
      <c r="D79" s="0" t="s">
        <v>312</v>
      </c>
      <c r="E79" s="0" t="n">
        <v>2</v>
      </c>
      <c r="F79" s="0" t="s">
        <v>313</v>
      </c>
      <c r="G79" s="0" t="s">
        <v>17</v>
      </c>
    </row>
    <row r="80" customFormat="false" ht="15" hidden="false" customHeight="false" outlineLevel="0" collapsed="false">
      <c r="A80" s="0" t="s">
        <v>314</v>
      </c>
      <c r="B80" s="0" t="s">
        <v>315</v>
      </c>
      <c r="C80" s="0" t="s">
        <v>83</v>
      </c>
      <c r="D80" s="0" t="s">
        <v>61</v>
      </c>
      <c r="E80" s="0" t="n">
        <v>2</v>
      </c>
      <c r="F80" s="0" t="s">
        <v>221</v>
      </c>
      <c r="G80" s="0" t="s">
        <v>20</v>
      </c>
    </row>
    <row r="81" customFormat="false" ht="15" hidden="false" customHeight="false" outlineLevel="0" collapsed="false">
      <c r="A81" s="0" t="s">
        <v>316</v>
      </c>
      <c r="B81" s="0" t="s">
        <v>317</v>
      </c>
      <c r="C81" s="0" t="s">
        <v>243</v>
      </c>
      <c r="D81" s="0" t="s">
        <v>80</v>
      </c>
      <c r="E81" s="0" t="n">
        <v>3</v>
      </c>
      <c r="F81" s="0" t="s">
        <v>81</v>
      </c>
      <c r="G81" s="0" t="s">
        <v>18</v>
      </c>
    </row>
    <row r="82" customFormat="false" ht="15" hidden="false" customHeight="false" outlineLevel="0" collapsed="false">
      <c r="A82" s="0" t="s">
        <v>318</v>
      </c>
      <c r="B82" s="0" t="s">
        <v>149</v>
      </c>
      <c r="C82" s="0" t="s">
        <v>301</v>
      </c>
      <c r="D82" s="0" t="s">
        <v>229</v>
      </c>
      <c r="E82" s="0" t="n">
        <v>3</v>
      </c>
      <c r="F82" s="0" t="s">
        <v>230</v>
      </c>
      <c r="G82" s="0" t="s">
        <v>19</v>
      </c>
    </row>
    <row r="83" customFormat="false" ht="15" hidden="false" customHeight="false" outlineLevel="0" collapsed="false">
      <c r="A83" s="0" t="s">
        <v>319</v>
      </c>
      <c r="B83" s="0" t="s">
        <v>320</v>
      </c>
      <c r="C83" s="0" t="s">
        <v>50</v>
      </c>
      <c r="D83" s="0" t="s">
        <v>321</v>
      </c>
      <c r="E83" s="0" t="n">
        <v>4</v>
      </c>
      <c r="F83" s="0" t="s">
        <v>283</v>
      </c>
      <c r="G83" s="0" t="s">
        <v>18</v>
      </c>
    </row>
    <row r="84" customFormat="false" ht="15" hidden="false" customHeight="false" outlineLevel="0" collapsed="false">
      <c r="A84" s="0" t="s">
        <v>322</v>
      </c>
      <c r="B84" s="0" t="s">
        <v>323</v>
      </c>
      <c r="C84" s="0" t="s">
        <v>196</v>
      </c>
      <c r="D84" s="0" t="s">
        <v>324</v>
      </c>
      <c r="E84" s="0" t="n">
        <v>1</v>
      </c>
      <c r="F84" s="0" t="s">
        <v>325</v>
      </c>
      <c r="G84" s="0" t="s">
        <v>20</v>
      </c>
    </row>
    <row r="85" customFormat="false" ht="15" hidden="false" customHeight="false" outlineLevel="0" collapsed="false">
      <c r="A85" s="0" t="s">
        <v>326</v>
      </c>
      <c r="B85" s="0" t="s">
        <v>327</v>
      </c>
      <c r="C85" s="0" t="s">
        <v>114</v>
      </c>
      <c r="D85" s="0" t="s">
        <v>234</v>
      </c>
      <c r="E85" s="0" t="n">
        <v>3</v>
      </c>
      <c r="F85" s="0" t="s">
        <v>328</v>
      </c>
      <c r="G85" s="0" t="s">
        <v>18</v>
      </c>
    </row>
    <row r="86" customFormat="false" ht="15" hidden="false" customHeight="false" outlineLevel="0" collapsed="false">
      <c r="A86" s="0" t="s">
        <v>329</v>
      </c>
      <c r="B86" s="0" t="s">
        <v>330</v>
      </c>
      <c r="C86" s="0" t="s">
        <v>331</v>
      </c>
      <c r="D86" s="0" t="s">
        <v>80</v>
      </c>
      <c r="E86" s="0" t="n">
        <v>1</v>
      </c>
      <c r="F86" s="0" t="s">
        <v>81</v>
      </c>
      <c r="G86" s="0" t="s">
        <v>17</v>
      </c>
    </row>
    <row r="87" customFormat="false" ht="15" hidden="false" customHeight="false" outlineLevel="0" collapsed="false">
      <c r="A87" s="0" t="s">
        <v>332</v>
      </c>
      <c r="B87" s="0" t="s">
        <v>100</v>
      </c>
      <c r="C87" s="0" t="s">
        <v>333</v>
      </c>
      <c r="D87" s="0" t="s">
        <v>46</v>
      </c>
      <c r="E87" s="0" t="n">
        <v>1</v>
      </c>
      <c r="F87" s="0" t="s">
        <v>181</v>
      </c>
      <c r="G87" s="0" t="s">
        <v>18</v>
      </c>
    </row>
    <row r="88" customFormat="false" ht="15" hidden="false" customHeight="false" outlineLevel="0" collapsed="false">
      <c r="A88" s="0" t="s">
        <v>334</v>
      </c>
      <c r="B88" s="0" t="s">
        <v>145</v>
      </c>
      <c r="C88" s="0" t="s">
        <v>74</v>
      </c>
      <c r="D88" s="0" t="s">
        <v>335</v>
      </c>
      <c r="E88" s="0" t="n">
        <v>3</v>
      </c>
      <c r="F88" s="0" t="s">
        <v>178</v>
      </c>
      <c r="G88" s="0" t="s">
        <v>19</v>
      </c>
    </row>
    <row r="89" customFormat="false" ht="15" hidden="false" customHeight="false" outlineLevel="0" collapsed="false">
      <c r="A89" s="0" t="s">
        <v>336</v>
      </c>
      <c r="B89" s="0" t="s">
        <v>337</v>
      </c>
      <c r="C89" s="0" t="s">
        <v>295</v>
      </c>
      <c r="D89" s="0" t="s">
        <v>338</v>
      </c>
      <c r="E89" s="0" t="n">
        <v>1</v>
      </c>
      <c r="F89" s="0" t="s">
        <v>339</v>
      </c>
      <c r="G89" s="0" t="s">
        <v>18</v>
      </c>
    </row>
    <row r="90" customFormat="false" ht="15" hidden="false" customHeight="false" outlineLevel="0" collapsed="false">
      <c r="A90" s="0" t="s">
        <v>340</v>
      </c>
      <c r="B90" s="0" t="s">
        <v>341</v>
      </c>
      <c r="C90" s="0" t="s">
        <v>301</v>
      </c>
      <c r="D90" s="0" t="s">
        <v>282</v>
      </c>
      <c r="E90" s="0" t="n">
        <v>3</v>
      </c>
      <c r="F90" s="0" t="s">
        <v>283</v>
      </c>
      <c r="G90" s="0" t="s">
        <v>17</v>
      </c>
    </row>
    <row r="91" customFormat="false" ht="15" hidden="false" customHeight="false" outlineLevel="0" collapsed="false">
      <c r="A91" s="0" t="s">
        <v>342</v>
      </c>
      <c r="B91" s="0" t="s">
        <v>343</v>
      </c>
      <c r="C91" s="0" t="s">
        <v>250</v>
      </c>
      <c r="D91" s="0" t="s">
        <v>204</v>
      </c>
      <c r="E91" s="0" t="n">
        <v>2</v>
      </c>
      <c r="F91" s="0" t="s">
        <v>344</v>
      </c>
      <c r="G91" s="0" t="s">
        <v>17</v>
      </c>
    </row>
    <row r="92" customFormat="false" ht="15" hidden="false" customHeight="false" outlineLevel="0" collapsed="false">
      <c r="A92" s="0" t="s">
        <v>345</v>
      </c>
      <c r="B92" s="0" t="s">
        <v>346</v>
      </c>
      <c r="C92" s="0" t="s">
        <v>347</v>
      </c>
      <c r="D92" s="0" t="s">
        <v>348</v>
      </c>
      <c r="E92" s="0" t="n">
        <v>1</v>
      </c>
      <c r="F92" s="0" t="s">
        <v>339</v>
      </c>
      <c r="G92" s="0" t="s">
        <v>17</v>
      </c>
    </row>
    <row r="93" customFormat="false" ht="15" hidden="false" customHeight="false" outlineLevel="0" collapsed="false">
      <c r="A93" s="0" t="s">
        <v>349</v>
      </c>
      <c r="B93" s="0" t="s">
        <v>350</v>
      </c>
      <c r="C93" s="0" t="s">
        <v>50</v>
      </c>
      <c r="D93" s="0" t="s">
        <v>289</v>
      </c>
      <c r="E93" s="0" t="n">
        <v>2</v>
      </c>
      <c r="F93" s="0" t="s">
        <v>351</v>
      </c>
      <c r="G93" s="0" t="s">
        <v>20</v>
      </c>
    </row>
    <row r="94" customFormat="false" ht="15" hidden="false" customHeight="false" outlineLevel="0" collapsed="false">
      <c r="A94" s="0" t="s">
        <v>352</v>
      </c>
      <c r="B94" s="0" t="s">
        <v>353</v>
      </c>
      <c r="C94" s="0" t="s">
        <v>295</v>
      </c>
      <c r="D94" s="0" t="s">
        <v>61</v>
      </c>
      <c r="E94" s="0" t="n">
        <v>3</v>
      </c>
      <c r="F94" s="0" t="s">
        <v>221</v>
      </c>
      <c r="G94" s="0" t="s">
        <v>17</v>
      </c>
    </row>
    <row r="95" customFormat="false" ht="15" hidden="false" customHeight="false" outlineLevel="0" collapsed="false">
      <c r="A95" s="0" t="s">
        <v>354</v>
      </c>
      <c r="B95" s="0" t="s">
        <v>355</v>
      </c>
      <c r="C95" s="0" t="s">
        <v>196</v>
      </c>
      <c r="D95" s="0" t="s">
        <v>198</v>
      </c>
      <c r="E95" s="0" t="n">
        <v>2</v>
      </c>
      <c r="F95" s="0" t="s">
        <v>356</v>
      </c>
      <c r="G95" s="0" t="s">
        <v>20</v>
      </c>
    </row>
    <row r="96" customFormat="false" ht="15" hidden="false" customHeight="false" outlineLevel="0" collapsed="false">
      <c r="A96" s="0" t="s">
        <v>357</v>
      </c>
      <c r="B96" s="0" t="s">
        <v>358</v>
      </c>
      <c r="C96" s="0" t="s">
        <v>114</v>
      </c>
      <c r="D96" s="0" t="s">
        <v>359</v>
      </c>
      <c r="E96" s="0" t="n">
        <v>3</v>
      </c>
      <c r="F96" s="0" t="s">
        <v>283</v>
      </c>
      <c r="G96" s="0" t="s">
        <v>18</v>
      </c>
    </row>
    <row r="97" customFormat="false" ht="15" hidden="false" customHeight="false" outlineLevel="0" collapsed="false">
      <c r="A97" s="0" t="s">
        <v>360</v>
      </c>
      <c r="B97" s="0" t="s">
        <v>361</v>
      </c>
      <c r="C97" s="0" t="s">
        <v>362</v>
      </c>
      <c r="D97" s="0" t="s">
        <v>177</v>
      </c>
      <c r="E97" s="0" t="n">
        <v>4</v>
      </c>
      <c r="F97" s="0" t="s">
        <v>363</v>
      </c>
      <c r="G97" s="0" t="s">
        <v>18</v>
      </c>
    </row>
    <row r="98" customFormat="false" ht="15" hidden="false" customHeight="false" outlineLevel="0" collapsed="false">
      <c r="A98" s="0" t="s">
        <v>364</v>
      </c>
      <c r="B98" s="0" t="s">
        <v>365</v>
      </c>
      <c r="C98" s="0" t="s">
        <v>169</v>
      </c>
      <c r="D98" s="0" t="s">
        <v>93</v>
      </c>
      <c r="E98" s="0" t="n">
        <v>4</v>
      </c>
      <c r="F98" s="0" t="s">
        <v>94</v>
      </c>
      <c r="G98" s="0" t="s">
        <v>19</v>
      </c>
    </row>
    <row r="99" customFormat="false" ht="15" hidden="false" customHeight="false" outlineLevel="0" collapsed="false">
      <c r="A99" s="0" t="s">
        <v>366</v>
      </c>
      <c r="B99" s="0" t="s">
        <v>367</v>
      </c>
      <c r="C99" s="0" t="s">
        <v>368</v>
      </c>
      <c r="D99" s="0" t="s">
        <v>369</v>
      </c>
      <c r="E99" s="0" t="n">
        <v>1</v>
      </c>
      <c r="F99" s="0" t="s">
        <v>370</v>
      </c>
      <c r="G99" s="0" t="s">
        <v>18</v>
      </c>
    </row>
    <row r="100" customFormat="false" ht="15" hidden="false" customHeight="false" outlineLevel="0" collapsed="false">
      <c r="A100" s="0" t="s">
        <v>371</v>
      </c>
      <c r="B100" s="0" t="s">
        <v>372</v>
      </c>
      <c r="C100" s="0" t="s">
        <v>114</v>
      </c>
      <c r="D100" s="0" t="s">
        <v>373</v>
      </c>
      <c r="E100" s="0" t="n">
        <v>2</v>
      </c>
      <c r="F100" s="0" t="s">
        <v>374</v>
      </c>
      <c r="G100" s="0" t="s">
        <v>17</v>
      </c>
    </row>
    <row r="101" customFormat="false" ht="15" hidden="false" customHeight="false" outlineLevel="0" collapsed="false">
      <c r="A101" s="0" t="s">
        <v>375</v>
      </c>
      <c r="B101" s="0" t="s">
        <v>376</v>
      </c>
      <c r="C101" s="0" t="s">
        <v>83</v>
      </c>
      <c r="D101" s="0" t="s">
        <v>377</v>
      </c>
      <c r="E101" s="0" t="n">
        <v>4</v>
      </c>
      <c r="F101" s="0" t="s">
        <v>52</v>
      </c>
      <c r="G101" s="0" t="s">
        <v>17</v>
      </c>
    </row>
    <row r="102" customFormat="false" ht="15" hidden="false" customHeight="false" outlineLevel="0" collapsed="false">
      <c r="A102" s="0" t="s">
        <v>378</v>
      </c>
      <c r="B102" s="0" t="s">
        <v>379</v>
      </c>
      <c r="C102" s="0" t="s">
        <v>228</v>
      </c>
      <c r="D102" s="0" t="s">
        <v>201</v>
      </c>
      <c r="E102" s="0" t="n">
        <v>3</v>
      </c>
      <c r="F102" s="0" t="s">
        <v>296</v>
      </c>
      <c r="G102" s="0" t="s">
        <v>18</v>
      </c>
    </row>
    <row r="103" customFormat="false" ht="15" hidden="false" customHeight="false" outlineLevel="0" collapsed="false">
      <c r="A103" s="0" t="s">
        <v>380</v>
      </c>
      <c r="B103" s="0" t="s">
        <v>381</v>
      </c>
      <c r="C103" s="0" t="s">
        <v>382</v>
      </c>
      <c r="D103" s="0" t="s">
        <v>321</v>
      </c>
      <c r="E103" s="0" t="n">
        <v>1</v>
      </c>
      <c r="F103" s="0" t="s">
        <v>383</v>
      </c>
      <c r="G103" s="0" t="s">
        <v>20</v>
      </c>
    </row>
    <row r="104" customFormat="false" ht="15" hidden="false" customHeight="false" outlineLevel="0" collapsed="false">
      <c r="A104" s="0" t="s">
        <v>384</v>
      </c>
      <c r="B104" s="0" t="s">
        <v>385</v>
      </c>
      <c r="C104" s="0" t="s">
        <v>101</v>
      </c>
      <c r="D104" s="0" t="s">
        <v>386</v>
      </c>
      <c r="E104" s="0" t="n">
        <v>1</v>
      </c>
      <c r="F104" s="0" t="s">
        <v>387</v>
      </c>
      <c r="G104" s="0" t="s">
        <v>17</v>
      </c>
    </row>
    <row r="105" customFormat="false" ht="15" hidden="false" customHeight="false" outlineLevel="0" collapsed="false">
      <c r="A105" s="0" t="s">
        <v>388</v>
      </c>
      <c r="B105" s="0" t="s">
        <v>389</v>
      </c>
      <c r="C105" s="0" t="s">
        <v>174</v>
      </c>
      <c r="D105" s="0" t="s">
        <v>390</v>
      </c>
      <c r="E105" s="0" t="n">
        <v>2</v>
      </c>
      <c r="F105" s="0" t="s">
        <v>139</v>
      </c>
      <c r="G105" s="0" t="s">
        <v>18</v>
      </c>
    </row>
    <row r="106" customFormat="false" ht="15" hidden="false" customHeight="false" outlineLevel="0" collapsed="false">
      <c r="A106" s="0" t="s">
        <v>391</v>
      </c>
      <c r="B106" s="0" t="s">
        <v>392</v>
      </c>
      <c r="C106" s="0" t="s">
        <v>188</v>
      </c>
      <c r="D106" s="0" t="s">
        <v>36</v>
      </c>
      <c r="E106" s="0" t="n">
        <v>1</v>
      </c>
      <c r="F106" s="0" t="s">
        <v>37</v>
      </c>
      <c r="G106" s="0" t="s">
        <v>19</v>
      </c>
    </row>
    <row r="107" customFormat="false" ht="15" hidden="false" customHeight="false" outlineLevel="0" collapsed="false">
      <c r="A107" s="0" t="s">
        <v>393</v>
      </c>
      <c r="B107" s="0" t="s">
        <v>394</v>
      </c>
      <c r="C107" s="0" t="s">
        <v>65</v>
      </c>
      <c r="D107" s="0" t="s">
        <v>282</v>
      </c>
      <c r="E107" s="0" t="n">
        <v>2</v>
      </c>
      <c r="F107" s="0" t="s">
        <v>283</v>
      </c>
      <c r="G107" s="0" t="s">
        <v>19</v>
      </c>
    </row>
    <row r="108" customFormat="false" ht="15" hidden="false" customHeight="false" outlineLevel="0" collapsed="false">
      <c r="A108" s="0" t="s">
        <v>395</v>
      </c>
      <c r="B108" s="0" t="s">
        <v>396</v>
      </c>
      <c r="C108" s="0" t="s">
        <v>228</v>
      </c>
      <c r="D108" s="0" t="s">
        <v>397</v>
      </c>
      <c r="E108" s="0" t="n">
        <v>1</v>
      </c>
      <c r="F108" s="0" t="s">
        <v>398</v>
      </c>
      <c r="G108" s="0" t="s">
        <v>18</v>
      </c>
    </row>
    <row r="109" customFormat="false" ht="15" hidden="false" customHeight="false" outlineLevel="0" collapsed="false">
      <c r="A109" s="0" t="s">
        <v>399</v>
      </c>
      <c r="B109" s="0" t="s">
        <v>400</v>
      </c>
      <c r="C109" s="0" t="s">
        <v>83</v>
      </c>
      <c r="D109" s="0" t="s">
        <v>401</v>
      </c>
      <c r="E109" s="0" t="n">
        <v>4</v>
      </c>
      <c r="F109" s="0" t="s">
        <v>268</v>
      </c>
      <c r="G109" s="0" t="s">
        <v>20</v>
      </c>
    </row>
    <row r="110" customFormat="false" ht="15" hidden="false" customHeight="false" outlineLevel="0" collapsed="false">
      <c r="A110" s="0" t="s">
        <v>402</v>
      </c>
      <c r="B110" s="0" t="s">
        <v>403</v>
      </c>
      <c r="C110" s="0" t="s">
        <v>50</v>
      </c>
      <c r="D110" s="0" t="s">
        <v>377</v>
      </c>
      <c r="E110" s="0" t="n">
        <v>2</v>
      </c>
      <c r="F110" s="0" t="s">
        <v>52</v>
      </c>
      <c r="G110" s="0" t="s">
        <v>18</v>
      </c>
    </row>
    <row r="111" customFormat="false" ht="15" hidden="false" customHeight="false" outlineLevel="0" collapsed="false">
      <c r="A111" s="0" t="s">
        <v>404</v>
      </c>
      <c r="B111" s="0" t="s">
        <v>405</v>
      </c>
      <c r="C111" s="0" t="s">
        <v>30</v>
      </c>
      <c r="D111" s="0" t="s">
        <v>84</v>
      </c>
      <c r="E111" s="0" t="n">
        <v>1</v>
      </c>
      <c r="F111" s="0" t="s">
        <v>85</v>
      </c>
      <c r="G111" s="0" t="s">
        <v>19</v>
      </c>
    </row>
    <row r="112" customFormat="false" ht="15" hidden="false" customHeight="false" outlineLevel="0" collapsed="false">
      <c r="A112" s="0" t="s">
        <v>406</v>
      </c>
      <c r="B112" s="0" t="s">
        <v>407</v>
      </c>
      <c r="C112" s="0" t="s">
        <v>106</v>
      </c>
      <c r="D112" s="0" t="s">
        <v>408</v>
      </c>
      <c r="E112" s="0" t="n">
        <v>1</v>
      </c>
      <c r="F112" s="0" t="s">
        <v>62</v>
      </c>
      <c r="G112" s="0" t="s">
        <v>20</v>
      </c>
    </row>
    <row r="113" customFormat="false" ht="15" hidden="false" customHeight="false" outlineLevel="0" collapsed="false">
      <c r="A113" s="0" t="s">
        <v>409</v>
      </c>
      <c r="B113" s="0" t="s">
        <v>410</v>
      </c>
      <c r="C113" s="0" t="s">
        <v>164</v>
      </c>
      <c r="D113" s="0" t="s">
        <v>213</v>
      </c>
      <c r="E113" s="0" t="n">
        <v>4</v>
      </c>
      <c r="F113" s="0" t="s">
        <v>210</v>
      </c>
      <c r="G113" s="0" t="s">
        <v>19</v>
      </c>
    </row>
    <row r="114" customFormat="false" ht="15" hidden="false" customHeight="false" outlineLevel="0" collapsed="false">
      <c r="A114" s="0" t="s">
        <v>411</v>
      </c>
      <c r="B114" s="0" t="s">
        <v>412</v>
      </c>
      <c r="C114" s="0" t="s">
        <v>256</v>
      </c>
      <c r="D114" s="0" t="s">
        <v>189</v>
      </c>
      <c r="E114" s="0" t="n">
        <v>2</v>
      </c>
      <c r="F114" s="0" t="s">
        <v>313</v>
      </c>
      <c r="G114" s="0" t="s">
        <v>19</v>
      </c>
    </row>
    <row r="115" customFormat="false" ht="15" hidden="false" customHeight="false" outlineLevel="0" collapsed="false">
      <c r="A115" s="0" t="s">
        <v>413</v>
      </c>
      <c r="B115" s="0" t="s">
        <v>414</v>
      </c>
      <c r="C115" s="0" t="s">
        <v>128</v>
      </c>
      <c r="D115" s="0" t="s">
        <v>239</v>
      </c>
      <c r="E115" s="0" t="n">
        <v>4</v>
      </c>
      <c r="F115" s="0" t="s">
        <v>415</v>
      </c>
      <c r="G115" s="0" t="s">
        <v>20</v>
      </c>
    </row>
    <row r="116" customFormat="false" ht="15" hidden="false" customHeight="false" outlineLevel="0" collapsed="false">
      <c r="A116" s="0" t="s">
        <v>416</v>
      </c>
      <c r="B116" s="0" t="s">
        <v>417</v>
      </c>
      <c r="C116" s="0" t="s">
        <v>159</v>
      </c>
      <c r="D116" s="0" t="s">
        <v>229</v>
      </c>
      <c r="E116" s="0" t="n">
        <v>1</v>
      </c>
      <c r="F116" s="0" t="s">
        <v>230</v>
      </c>
      <c r="G116" s="0" t="s">
        <v>19</v>
      </c>
    </row>
    <row r="117" customFormat="false" ht="15" hidden="false" customHeight="false" outlineLevel="0" collapsed="false">
      <c r="A117" s="0" t="s">
        <v>418</v>
      </c>
      <c r="B117" s="0" t="s">
        <v>227</v>
      </c>
      <c r="C117" s="0" t="s">
        <v>45</v>
      </c>
      <c r="D117" s="0" t="s">
        <v>84</v>
      </c>
      <c r="E117" s="0" t="n">
        <v>1</v>
      </c>
      <c r="F117" s="0" t="s">
        <v>152</v>
      </c>
      <c r="G117" s="0" t="s">
        <v>20</v>
      </c>
    </row>
    <row r="118" customFormat="false" ht="15" hidden="false" customHeight="false" outlineLevel="0" collapsed="false">
      <c r="A118" s="0" t="s">
        <v>419</v>
      </c>
      <c r="B118" s="0" t="s">
        <v>69</v>
      </c>
      <c r="C118" s="0" t="s">
        <v>233</v>
      </c>
      <c r="D118" s="0" t="s">
        <v>177</v>
      </c>
      <c r="E118" s="0" t="n">
        <v>4</v>
      </c>
      <c r="F118" s="0" t="s">
        <v>420</v>
      </c>
      <c r="G118" s="0" t="s">
        <v>19</v>
      </c>
    </row>
    <row r="119" customFormat="false" ht="15" hidden="false" customHeight="false" outlineLevel="0" collapsed="false">
      <c r="A119" s="0" t="s">
        <v>421</v>
      </c>
      <c r="B119" s="0" t="s">
        <v>292</v>
      </c>
      <c r="C119" s="0" t="s">
        <v>133</v>
      </c>
      <c r="D119" s="0" t="s">
        <v>422</v>
      </c>
      <c r="E119" s="0" t="n">
        <v>1</v>
      </c>
      <c r="F119" s="0" t="s">
        <v>130</v>
      </c>
      <c r="G119" s="0" t="s">
        <v>17</v>
      </c>
    </row>
    <row r="120" customFormat="false" ht="15" hidden="false" customHeight="false" outlineLevel="0" collapsed="false">
      <c r="A120" s="0" t="s">
        <v>423</v>
      </c>
      <c r="B120" s="0" t="s">
        <v>424</v>
      </c>
      <c r="C120" s="0" t="s">
        <v>425</v>
      </c>
      <c r="D120" s="0" t="s">
        <v>204</v>
      </c>
      <c r="E120" s="0" t="n">
        <v>2</v>
      </c>
      <c r="F120" s="0" t="s">
        <v>344</v>
      </c>
      <c r="G120" s="0" t="s">
        <v>17</v>
      </c>
    </row>
    <row r="121" customFormat="false" ht="15" hidden="false" customHeight="false" outlineLevel="0" collapsed="false">
      <c r="A121" s="0" t="s">
        <v>426</v>
      </c>
      <c r="B121" s="0" t="s">
        <v>195</v>
      </c>
      <c r="C121" s="0" t="s">
        <v>159</v>
      </c>
      <c r="D121" s="0" t="s">
        <v>146</v>
      </c>
      <c r="E121" s="0" t="n">
        <v>1</v>
      </c>
      <c r="F121" s="0" t="s">
        <v>427</v>
      </c>
      <c r="G121" s="0" t="s">
        <v>20</v>
      </c>
    </row>
    <row r="122" customFormat="false" ht="15" hidden="false" customHeight="false" outlineLevel="0" collapsed="false">
      <c r="A122" s="0" t="s">
        <v>428</v>
      </c>
      <c r="B122" s="0" t="s">
        <v>429</v>
      </c>
      <c r="C122" s="0" t="s">
        <v>137</v>
      </c>
      <c r="D122" s="0" t="s">
        <v>306</v>
      </c>
      <c r="E122" s="0" t="n">
        <v>3</v>
      </c>
      <c r="F122" s="0" t="s">
        <v>356</v>
      </c>
      <c r="G122" s="0" t="s">
        <v>18</v>
      </c>
    </row>
    <row r="123" customFormat="false" ht="15" hidden="false" customHeight="false" outlineLevel="0" collapsed="false">
      <c r="A123" s="0" t="s">
        <v>430</v>
      </c>
      <c r="B123" s="0" t="s">
        <v>431</v>
      </c>
      <c r="C123" s="0" t="s">
        <v>83</v>
      </c>
      <c r="D123" s="0" t="s">
        <v>257</v>
      </c>
      <c r="E123" s="0" t="n">
        <v>4</v>
      </c>
      <c r="F123" s="0" t="s">
        <v>432</v>
      </c>
      <c r="G123" s="0" t="s">
        <v>19</v>
      </c>
    </row>
    <row r="124" customFormat="false" ht="15" hidden="false" customHeight="false" outlineLevel="0" collapsed="false">
      <c r="A124" s="0" t="s">
        <v>433</v>
      </c>
      <c r="B124" s="0" t="s">
        <v>434</v>
      </c>
      <c r="C124" s="0" t="s">
        <v>435</v>
      </c>
      <c r="D124" s="0" t="s">
        <v>373</v>
      </c>
      <c r="E124" s="0" t="n">
        <v>2</v>
      </c>
      <c r="F124" s="0" t="s">
        <v>436</v>
      </c>
      <c r="G124" s="0" t="s">
        <v>19</v>
      </c>
    </row>
    <row r="125" customFormat="false" ht="15" hidden="false" customHeight="false" outlineLevel="0" collapsed="false">
      <c r="A125" s="0" t="s">
        <v>437</v>
      </c>
      <c r="B125" s="0" t="s">
        <v>403</v>
      </c>
      <c r="C125" s="0" t="s">
        <v>438</v>
      </c>
      <c r="D125" s="0" t="s">
        <v>377</v>
      </c>
      <c r="E125" s="0" t="n">
        <v>3</v>
      </c>
      <c r="F125" s="0" t="s">
        <v>439</v>
      </c>
      <c r="G125" s="0" t="s">
        <v>17</v>
      </c>
    </row>
    <row r="126" customFormat="false" ht="15" hidden="false" customHeight="false" outlineLevel="0" collapsed="false">
      <c r="A126" s="0" t="s">
        <v>440</v>
      </c>
      <c r="B126" s="0" t="s">
        <v>441</v>
      </c>
      <c r="C126" s="0" t="s">
        <v>35</v>
      </c>
      <c r="D126" s="0" t="s">
        <v>80</v>
      </c>
      <c r="E126" s="0" t="n">
        <v>1</v>
      </c>
      <c r="F126" s="0" t="s">
        <v>81</v>
      </c>
      <c r="G126" s="0" t="s">
        <v>18</v>
      </c>
    </row>
    <row r="127" customFormat="false" ht="15" hidden="false" customHeight="false" outlineLevel="0" collapsed="false">
      <c r="A127" s="0" t="s">
        <v>442</v>
      </c>
      <c r="B127" s="0" t="s">
        <v>443</v>
      </c>
      <c r="C127" s="0" t="s">
        <v>50</v>
      </c>
      <c r="D127" s="0" t="s">
        <v>373</v>
      </c>
      <c r="E127" s="0" t="n">
        <v>2</v>
      </c>
      <c r="F127" s="0" t="s">
        <v>444</v>
      </c>
      <c r="G127" s="0" t="s">
        <v>18</v>
      </c>
    </row>
    <row r="128" customFormat="false" ht="15" hidden="false" customHeight="false" outlineLevel="0" collapsed="false">
      <c r="A128" s="0" t="s">
        <v>445</v>
      </c>
      <c r="B128" s="0" t="s">
        <v>446</v>
      </c>
      <c r="C128" s="0" t="s">
        <v>238</v>
      </c>
      <c r="D128" s="0" t="s">
        <v>204</v>
      </c>
      <c r="E128" s="0" t="n">
        <v>1</v>
      </c>
      <c r="F128" s="0" t="s">
        <v>344</v>
      </c>
      <c r="G128" s="0" t="s">
        <v>20</v>
      </c>
    </row>
    <row r="129" customFormat="false" ht="15" hidden="false" customHeight="false" outlineLevel="0" collapsed="false">
      <c r="A129" s="0" t="s">
        <v>447</v>
      </c>
      <c r="B129" s="0" t="s">
        <v>448</v>
      </c>
      <c r="C129" s="0" t="s">
        <v>114</v>
      </c>
      <c r="D129" s="0" t="s">
        <v>449</v>
      </c>
      <c r="E129" s="0" t="n">
        <v>2</v>
      </c>
      <c r="F129" s="0" t="s">
        <v>432</v>
      </c>
      <c r="G129" s="0" t="s">
        <v>18</v>
      </c>
    </row>
    <row r="130" customFormat="false" ht="15" hidden="false" customHeight="false" outlineLevel="0" collapsed="false">
      <c r="A130" s="0" t="s">
        <v>450</v>
      </c>
      <c r="B130" s="0" t="s">
        <v>294</v>
      </c>
      <c r="C130" s="0" t="s">
        <v>243</v>
      </c>
      <c r="D130" s="0" t="s">
        <v>451</v>
      </c>
      <c r="E130" s="0" t="n">
        <v>2</v>
      </c>
      <c r="F130" s="0" t="s">
        <v>283</v>
      </c>
      <c r="G130" s="0" t="s">
        <v>19</v>
      </c>
    </row>
    <row r="131" customFormat="false" ht="15" hidden="false" customHeight="false" outlineLevel="0" collapsed="false">
      <c r="A131" s="0" t="s">
        <v>452</v>
      </c>
      <c r="B131" s="0" t="s">
        <v>453</v>
      </c>
      <c r="C131" s="0" t="s">
        <v>30</v>
      </c>
      <c r="D131" s="0" t="s">
        <v>282</v>
      </c>
      <c r="E131" s="0" t="n">
        <v>4</v>
      </c>
      <c r="F131" s="0" t="s">
        <v>383</v>
      </c>
      <c r="G131" s="0" t="s">
        <v>19</v>
      </c>
    </row>
    <row r="132" customFormat="false" ht="15" hidden="false" customHeight="false" outlineLevel="0" collapsed="false">
      <c r="A132" s="0" t="s">
        <v>454</v>
      </c>
      <c r="B132" s="0" t="s">
        <v>455</v>
      </c>
      <c r="C132" s="0" t="s">
        <v>79</v>
      </c>
      <c r="D132" s="0" t="s">
        <v>302</v>
      </c>
      <c r="E132" s="0" t="n">
        <v>2</v>
      </c>
      <c r="F132" s="0" t="s">
        <v>325</v>
      </c>
      <c r="G132" s="0" t="s">
        <v>17</v>
      </c>
    </row>
    <row r="133" customFormat="false" ht="15" hidden="false" customHeight="false" outlineLevel="0" collapsed="false">
      <c r="A133" s="0" t="s">
        <v>456</v>
      </c>
      <c r="B133" s="0" t="s">
        <v>457</v>
      </c>
      <c r="C133" s="0" t="s">
        <v>123</v>
      </c>
      <c r="D133" s="0" t="s">
        <v>234</v>
      </c>
      <c r="E133" s="0" t="n">
        <v>2</v>
      </c>
      <c r="F133" s="0" t="s">
        <v>235</v>
      </c>
      <c r="G133" s="0" t="s">
        <v>17</v>
      </c>
    </row>
    <row r="134" customFormat="false" ht="15" hidden="false" customHeight="false" outlineLevel="0" collapsed="false">
      <c r="A134" s="0" t="s">
        <v>458</v>
      </c>
      <c r="B134" s="0" t="s">
        <v>459</v>
      </c>
      <c r="C134" s="0" t="s">
        <v>331</v>
      </c>
      <c r="D134" s="0" t="s">
        <v>165</v>
      </c>
      <c r="E134" s="0" t="n">
        <v>3</v>
      </c>
      <c r="F134" s="0" t="s">
        <v>166</v>
      </c>
      <c r="G134" s="0" t="s">
        <v>18</v>
      </c>
    </row>
    <row r="135" customFormat="false" ht="15" hidden="false" customHeight="false" outlineLevel="0" collapsed="false">
      <c r="A135" s="0" t="s">
        <v>460</v>
      </c>
      <c r="B135" s="0" t="s">
        <v>461</v>
      </c>
      <c r="C135" s="0" t="s">
        <v>133</v>
      </c>
      <c r="D135" s="0" t="s">
        <v>462</v>
      </c>
      <c r="E135" s="0" t="n">
        <v>3</v>
      </c>
      <c r="F135" s="0" t="s">
        <v>240</v>
      </c>
      <c r="G135" s="0" t="s">
        <v>17</v>
      </c>
    </row>
    <row r="136" customFormat="false" ht="15" hidden="false" customHeight="false" outlineLevel="0" collapsed="false">
      <c r="A136" s="0" t="s">
        <v>463</v>
      </c>
      <c r="B136" s="0" t="s">
        <v>464</v>
      </c>
      <c r="C136" s="0" t="s">
        <v>35</v>
      </c>
      <c r="D136" s="0" t="s">
        <v>102</v>
      </c>
      <c r="E136" s="0" t="n">
        <v>3</v>
      </c>
      <c r="F136" s="0" t="s">
        <v>465</v>
      </c>
      <c r="G136" s="0" t="s">
        <v>19</v>
      </c>
    </row>
    <row r="137" customFormat="false" ht="15" hidden="false" customHeight="false" outlineLevel="0" collapsed="false">
      <c r="A137" s="0" t="s">
        <v>466</v>
      </c>
      <c r="B137" s="0" t="s">
        <v>467</v>
      </c>
      <c r="C137" s="0" t="s">
        <v>228</v>
      </c>
      <c r="D137" s="0" t="s">
        <v>397</v>
      </c>
      <c r="E137" s="0" t="n">
        <v>1</v>
      </c>
      <c r="F137" s="0" t="s">
        <v>468</v>
      </c>
      <c r="G137" s="0" t="s">
        <v>17</v>
      </c>
    </row>
    <row r="138" customFormat="false" ht="15" hidden="false" customHeight="false" outlineLevel="0" collapsed="false">
      <c r="A138" s="0" t="s">
        <v>469</v>
      </c>
      <c r="B138" s="0" t="s">
        <v>470</v>
      </c>
      <c r="C138" s="0" t="s">
        <v>101</v>
      </c>
      <c r="D138" s="0" t="s">
        <v>110</v>
      </c>
      <c r="E138" s="0" t="n">
        <v>1</v>
      </c>
      <c r="F138" s="0" t="s">
        <v>115</v>
      </c>
      <c r="G138" s="0" t="s">
        <v>19</v>
      </c>
    </row>
    <row r="139" customFormat="false" ht="15" hidden="false" customHeight="false" outlineLevel="0" collapsed="false">
      <c r="A139" s="0" t="s">
        <v>471</v>
      </c>
      <c r="B139" s="0" t="s">
        <v>472</v>
      </c>
      <c r="C139" s="0" t="s">
        <v>40</v>
      </c>
      <c r="D139" s="0" t="s">
        <v>282</v>
      </c>
      <c r="E139" s="0" t="n">
        <v>3</v>
      </c>
      <c r="F139" s="0" t="s">
        <v>473</v>
      </c>
      <c r="G139" s="0" t="s">
        <v>20</v>
      </c>
    </row>
    <row r="140" customFormat="false" ht="15" hidden="false" customHeight="false" outlineLevel="0" collapsed="false">
      <c r="A140" s="0" t="s">
        <v>474</v>
      </c>
      <c r="B140" s="0" t="s">
        <v>475</v>
      </c>
      <c r="C140" s="0" t="s">
        <v>256</v>
      </c>
      <c r="D140" s="0" t="s">
        <v>476</v>
      </c>
      <c r="E140" s="0" t="n">
        <v>4</v>
      </c>
      <c r="F140" s="0" t="s">
        <v>57</v>
      </c>
      <c r="G140" s="0" t="s">
        <v>19</v>
      </c>
    </row>
    <row r="141" customFormat="false" ht="15" hidden="false" customHeight="false" outlineLevel="0" collapsed="false">
      <c r="A141" s="0" t="s">
        <v>477</v>
      </c>
      <c r="B141" s="0" t="s">
        <v>478</v>
      </c>
      <c r="C141" s="0" t="s">
        <v>188</v>
      </c>
      <c r="D141" s="0" t="s">
        <v>369</v>
      </c>
      <c r="E141" s="0" t="n">
        <v>4</v>
      </c>
      <c r="F141" s="0" t="s">
        <v>370</v>
      </c>
      <c r="G141" s="0" t="s">
        <v>17</v>
      </c>
    </row>
    <row r="142" customFormat="false" ht="15" hidden="false" customHeight="false" outlineLevel="0" collapsed="false">
      <c r="A142" s="0" t="s">
        <v>479</v>
      </c>
      <c r="B142" s="0" t="s">
        <v>480</v>
      </c>
      <c r="C142" s="0" t="s">
        <v>150</v>
      </c>
      <c r="D142" s="0" t="s">
        <v>481</v>
      </c>
      <c r="E142" s="0" t="n">
        <v>4</v>
      </c>
      <c r="F142" s="0" t="s">
        <v>482</v>
      </c>
      <c r="G142" s="0" t="s">
        <v>17</v>
      </c>
    </row>
    <row r="143" customFormat="false" ht="15" hidden="false" customHeight="false" outlineLevel="0" collapsed="false">
      <c r="A143" s="0" t="s">
        <v>483</v>
      </c>
      <c r="B143" s="0" t="s">
        <v>484</v>
      </c>
      <c r="C143" s="0" t="s">
        <v>106</v>
      </c>
      <c r="D143" s="0" t="s">
        <v>299</v>
      </c>
      <c r="E143" s="0" t="n">
        <v>3</v>
      </c>
      <c r="F143" s="0" t="s">
        <v>485</v>
      </c>
      <c r="G143" s="0" t="s">
        <v>20</v>
      </c>
    </row>
    <row r="144" customFormat="false" ht="15" hidden="false" customHeight="false" outlineLevel="0" collapsed="false">
      <c r="A144" s="0" t="s">
        <v>486</v>
      </c>
      <c r="B144" s="0" t="s">
        <v>385</v>
      </c>
      <c r="C144" s="0" t="s">
        <v>425</v>
      </c>
      <c r="D144" s="0" t="s">
        <v>487</v>
      </c>
      <c r="E144" s="0" t="n">
        <v>3</v>
      </c>
      <c r="F144" s="0" t="s">
        <v>436</v>
      </c>
      <c r="G144" s="0" t="s">
        <v>19</v>
      </c>
    </row>
    <row r="145" customFormat="false" ht="15" hidden="false" customHeight="false" outlineLevel="0" collapsed="false">
      <c r="A145" s="0" t="s">
        <v>488</v>
      </c>
      <c r="B145" s="0" t="s">
        <v>247</v>
      </c>
      <c r="C145" s="0" t="s">
        <v>118</v>
      </c>
      <c r="D145" s="0" t="s">
        <v>220</v>
      </c>
      <c r="E145" s="0" t="n">
        <v>2</v>
      </c>
      <c r="F145" s="0" t="s">
        <v>221</v>
      </c>
      <c r="G145" s="0" t="s">
        <v>19</v>
      </c>
    </row>
    <row r="146" customFormat="false" ht="15" hidden="false" customHeight="false" outlineLevel="0" collapsed="false">
      <c r="A146" s="0" t="s">
        <v>489</v>
      </c>
      <c r="B146" s="0" t="s">
        <v>490</v>
      </c>
      <c r="C146" s="0" t="s">
        <v>40</v>
      </c>
      <c r="D146" s="0" t="s">
        <v>302</v>
      </c>
      <c r="E146" s="0" t="n">
        <v>4</v>
      </c>
      <c r="F146" s="0" t="s">
        <v>303</v>
      </c>
      <c r="G146" s="0" t="s">
        <v>20</v>
      </c>
    </row>
    <row r="147" customFormat="false" ht="15" hidden="false" customHeight="false" outlineLevel="0" collapsed="false">
      <c r="A147" s="0" t="s">
        <v>491</v>
      </c>
      <c r="B147" s="0" t="s">
        <v>252</v>
      </c>
      <c r="C147" s="0" t="s">
        <v>492</v>
      </c>
      <c r="D147" s="0" t="s">
        <v>143</v>
      </c>
      <c r="E147" s="0" t="n">
        <v>3</v>
      </c>
      <c r="F147" s="0" t="s">
        <v>42</v>
      </c>
      <c r="G147" s="0" t="s">
        <v>17</v>
      </c>
    </row>
    <row r="148" customFormat="false" ht="15" hidden="false" customHeight="false" outlineLevel="0" collapsed="false">
      <c r="A148" s="0" t="s">
        <v>493</v>
      </c>
      <c r="B148" s="0" t="s">
        <v>494</v>
      </c>
      <c r="C148" s="0" t="s">
        <v>106</v>
      </c>
      <c r="D148" s="0" t="s">
        <v>282</v>
      </c>
      <c r="E148" s="0" t="n">
        <v>4</v>
      </c>
      <c r="F148" s="0" t="s">
        <v>473</v>
      </c>
      <c r="G148" s="0" t="s">
        <v>20</v>
      </c>
    </row>
    <row r="149" customFormat="false" ht="15" hidden="false" customHeight="false" outlineLevel="0" collapsed="false">
      <c r="A149" s="0" t="s">
        <v>495</v>
      </c>
      <c r="B149" s="0" t="s">
        <v>496</v>
      </c>
      <c r="C149" s="0" t="s">
        <v>35</v>
      </c>
      <c r="D149" s="0" t="s">
        <v>289</v>
      </c>
      <c r="E149" s="0" t="n">
        <v>3</v>
      </c>
      <c r="F149" s="0" t="s">
        <v>245</v>
      </c>
      <c r="G149" s="0" t="s">
        <v>18</v>
      </c>
    </row>
    <row r="150" customFormat="false" ht="15" hidden="false" customHeight="false" outlineLevel="0" collapsed="false">
      <c r="A150" s="0" t="s">
        <v>497</v>
      </c>
      <c r="B150" s="0" t="s">
        <v>498</v>
      </c>
      <c r="C150" s="0" t="s">
        <v>106</v>
      </c>
      <c r="D150" s="0" t="s">
        <v>499</v>
      </c>
      <c r="E150" s="0" t="n">
        <v>2</v>
      </c>
      <c r="F150" s="0" t="s">
        <v>500</v>
      </c>
      <c r="G150" s="0" t="s">
        <v>19</v>
      </c>
    </row>
    <row r="151" customFormat="false" ht="15" hidden="false" customHeight="false" outlineLevel="0" collapsed="false">
      <c r="A151" s="0" t="s">
        <v>501</v>
      </c>
      <c r="B151" s="0" t="s">
        <v>502</v>
      </c>
      <c r="C151" s="0" t="s">
        <v>79</v>
      </c>
      <c r="D151" s="0" t="s">
        <v>503</v>
      </c>
      <c r="E151" s="0" t="n">
        <v>3</v>
      </c>
      <c r="F151" s="0" t="s">
        <v>504</v>
      </c>
      <c r="G151" s="0" t="s">
        <v>20</v>
      </c>
    </row>
    <row r="152" customFormat="false" ht="15" hidden="false" customHeight="false" outlineLevel="0" collapsed="false">
      <c r="A152" s="0" t="s">
        <v>505</v>
      </c>
      <c r="B152" s="0" t="s">
        <v>506</v>
      </c>
      <c r="C152" s="0" t="s">
        <v>45</v>
      </c>
      <c r="D152" s="0" t="s">
        <v>129</v>
      </c>
      <c r="E152" s="0" t="n">
        <v>2</v>
      </c>
      <c r="F152" s="0" t="s">
        <v>130</v>
      </c>
      <c r="G152" s="0" t="s">
        <v>20</v>
      </c>
    </row>
    <row r="153" customFormat="false" ht="15" hidden="false" customHeight="false" outlineLevel="0" collapsed="false">
      <c r="A153" s="0" t="s">
        <v>507</v>
      </c>
      <c r="B153" s="0" t="s">
        <v>508</v>
      </c>
      <c r="C153" s="0" t="s">
        <v>509</v>
      </c>
      <c r="D153" s="0" t="s">
        <v>129</v>
      </c>
      <c r="E153" s="0" t="n">
        <v>1</v>
      </c>
      <c r="F153" s="0" t="s">
        <v>510</v>
      </c>
      <c r="G153" s="0" t="s">
        <v>19</v>
      </c>
    </row>
    <row r="154" customFormat="false" ht="15" hidden="false" customHeight="false" outlineLevel="0" collapsed="false">
      <c r="A154" s="0" t="s">
        <v>511</v>
      </c>
      <c r="B154" s="0" t="s">
        <v>376</v>
      </c>
      <c r="C154" s="0" t="s">
        <v>250</v>
      </c>
      <c r="D154" s="0" t="s">
        <v>88</v>
      </c>
      <c r="E154" s="0" t="n">
        <v>4</v>
      </c>
      <c r="F154" s="0" t="s">
        <v>156</v>
      </c>
      <c r="G154" s="0" t="s">
        <v>19</v>
      </c>
    </row>
    <row r="155" customFormat="false" ht="15" hidden="false" customHeight="false" outlineLevel="0" collapsed="false">
      <c r="A155" s="0" t="s">
        <v>512</v>
      </c>
      <c r="B155" s="0" t="s">
        <v>513</v>
      </c>
      <c r="C155" s="0" t="s">
        <v>159</v>
      </c>
      <c r="D155" s="0" t="s">
        <v>476</v>
      </c>
      <c r="E155" s="0" t="n">
        <v>2</v>
      </c>
      <c r="F155" s="0" t="s">
        <v>275</v>
      </c>
      <c r="G155" s="0" t="s">
        <v>18</v>
      </c>
    </row>
    <row r="156" customFormat="false" ht="15" hidden="false" customHeight="false" outlineLevel="0" collapsed="false">
      <c r="A156" s="0" t="s">
        <v>514</v>
      </c>
      <c r="B156" s="0" t="s">
        <v>448</v>
      </c>
      <c r="C156" s="0" t="s">
        <v>435</v>
      </c>
      <c r="D156" s="0" t="s">
        <v>515</v>
      </c>
      <c r="E156" s="0" t="n">
        <v>3</v>
      </c>
      <c r="F156" s="0" t="s">
        <v>147</v>
      </c>
      <c r="G156" s="0" t="s">
        <v>17</v>
      </c>
    </row>
    <row r="157" customFormat="false" ht="15" hidden="false" customHeight="false" outlineLevel="0" collapsed="false">
      <c r="A157" s="0" t="s">
        <v>516</v>
      </c>
      <c r="B157" s="0" t="s">
        <v>517</v>
      </c>
      <c r="C157" s="0" t="s">
        <v>518</v>
      </c>
      <c r="D157" s="0" t="s">
        <v>41</v>
      </c>
      <c r="E157" s="0" t="n">
        <v>3</v>
      </c>
      <c r="F157" s="0" t="s">
        <v>107</v>
      </c>
      <c r="G157" s="0" t="s">
        <v>20</v>
      </c>
    </row>
    <row r="158" customFormat="false" ht="15" hidden="false" customHeight="false" outlineLevel="0" collapsed="false">
      <c r="A158" s="0" t="s">
        <v>519</v>
      </c>
      <c r="B158" s="0" t="s">
        <v>520</v>
      </c>
      <c r="C158" s="0" t="s">
        <v>382</v>
      </c>
      <c r="D158" s="0" t="s">
        <v>521</v>
      </c>
      <c r="E158" s="0" t="n">
        <v>2</v>
      </c>
      <c r="F158" s="0" t="s">
        <v>522</v>
      </c>
      <c r="G158" s="0" t="s">
        <v>20</v>
      </c>
    </row>
    <row r="159" customFormat="false" ht="15" hidden="false" customHeight="false" outlineLevel="0" collapsed="false">
      <c r="A159" s="0" t="s">
        <v>523</v>
      </c>
      <c r="B159" s="0" t="s">
        <v>524</v>
      </c>
      <c r="C159" s="0" t="s">
        <v>368</v>
      </c>
      <c r="D159" s="0" t="s">
        <v>462</v>
      </c>
      <c r="E159" s="0" t="n">
        <v>3</v>
      </c>
      <c r="F159" s="0" t="s">
        <v>268</v>
      </c>
      <c r="G159" s="0" t="s">
        <v>17</v>
      </c>
    </row>
    <row r="160" customFormat="false" ht="15" hidden="false" customHeight="false" outlineLevel="0" collapsed="false">
      <c r="A160" s="0" t="s">
        <v>525</v>
      </c>
      <c r="B160" s="0" t="s">
        <v>526</v>
      </c>
      <c r="C160" s="0" t="s">
        <v>250</v>
      </c>
      <c r="D160" s="0" t="s">
        <v>51</v>
      </c>
      <c r="E160" s="0" t="n">
        <v>4</v>
      </c>
      <c r="F160" s="0" t="s">
        <v>439</v>
      </c>
      <c r="G160" s="0" t="s">
        <v>17</v>
      </c>
    </row>
    <row r="161" customFormat="false" ht="15" hidden="false" customHeight="false" outlineLevel="0" collapsed="false">
      <c r="A161" s="0" t="s">
        <v>527</v>
      </c>
      <c r="B161" s="0" t="s">
        <v>528</v>
      </c>
      <c r="C161" s="0" t="s">
        <v>150</v>
      </c>
      <c r="D161" s="0" t="s">
        <v>408</v>
      </c>
      <c r="E161" s="0" t="n">
        <v>4</v>
      </c>
      <c r="F161" s="0" t="s">
        <v>522</v>
      </c>
      <c r="G161" s="0" t="s">
        <v>19</v>
      </c>
    </row>
    <row r="162" customFormat="false" ht="15" hidden="false" customHeight="false" outlineLevel="0" collapsed="false">
      <c r="A162" s="0" t="s">
        <v>529</v>
      </c>
      <c r="B162" s="0" t="s">
        <v>530</v>
      </c>
      <c r="C162" s="0" t="s">
        <v>142</v>
      </c>
      <c r="D162" s="0" t="s">
        <v>216</v>
      </c>
      <c r="E162" s="0" t="n">
        <v>1</v>
      </c>
      <c r="F162" s="0" t="s">
        <v>217</v>
      </c>
      <c r="G162" s="0" t="s">
        <v>20</v>
      </c>
    </row>
    <row r="163" customFormat="false" ht="15" hidden="false" customHeight="false" outlineLevel="0" collapsed="false">
      <c r="A163" s="0" t="s">
        <v>531</v>
      </c>
      <c r="B163" s="0" t="s">
        <v>407</v>
      </c>
      <c r="C163" s="0" t="s">
        <v>101</v>
      </c>
      <c r="D163" s="0" t="s">
        <v>521</v>
      </c>
      <c r="E163" s="0" t="n">
        <v>4</v>
      </c>
      <c r="F163" s="0" t="s">
        <v>62</v>
      </c>
      <c r="G163" s="0" t="s">
        <v>17</v>
      </c>
    </row>
    <row r="164" customFormat="false" ht="15" hidden="false" customHeight="false" outlineLevel="0" collapsed="false">
      <c r="A164" s="0" t="s">
        <v>532</v>
      </c>
      <c r="B164" s="0" t="s">
        <v>526</v>
      </c>
      <c r="C164" s="0" t="s">
        <v>253</v>
      </c>
      <c r="D164" s="0" t="s">
        <v>533</v>
      </c>
      <c r="E164" s="0" t="n">
        <v>2</v>
      </c>
      <c r="F164" s="0" t="s">
        <v>210</v>
      </c>
      <c r="G164" s="0" t="s">
        <v>17</v>
      </c>
    </row>
    <row r="165" customFormat="false" ht="15" hidden="false" customHeight="false" outlineLevel="0" collapsed="false">
      <c r="A165" s="0" t="s">
        <v>534</v>
      </c>
      <c r="B165" s="0" t="s">
        <v>87</v>
      </c>
      <c r="C165" s="0" t="s">
        <v>79</v>
      </c>
      <c r="D165" s="0" t="s">
        <v>289</v>
      </c>
      <c r="E165" s="0" t="n">
        <v>3</v>
      </c>
      <c r="F165" s="0" t="s">
        <v>351</v>
      </c>
      <c r="G165" s="0" t="s">
        <v>19</v>
      </c>
    </row>
    <row r="166" customFormat="false" ht="15" hidden="false" customHeight="false" outlineLevel="0" collapsed="false">
      <c r="A166" s="0" t="s">
        <v>535</v>
      </c>
      <c r="B166" s="0" t="s">
        <v>536</v>
      </c>
      <c r="C166" s="0" t="s">
        <v>133</v>
      </c>
      <c r="D166" s="0" t="s">
        <v>335</v>
      </c>
      <c r="E166" s="0" t="n">
        <v>4</v>
      </c>
      <c r="F166" s="0" t="s">
        <v>420</v>
      </c>
      <c r="G166" s="0" t="s">
        <v>18</v>
      </c>
    </row>
    <row r="167" customFormat="false" ht="15" hidden="false" customHeight="false" outlineLevel="0" collapsed="false">
      <c r="A167" s="0" t="s">
        <v>537</v>
      </c>
      <c r="B167" s="0" t="s">
        <v>538</v>
      </c>
      <c r="C167" s="0" t="s">
        <v>256</v>
      </c>
      <c r="D167" s="0" t="s">
        <v>229</v>
      </c>
      <c r="E167" s="0" t="n">
        <v>4</v>
      </c>
      <c r="F167" s="0" t="s">
        <v>539</v>
      </c>
      <c r="G167" s="0" t="s">
        <v>17</v>
      </c>
    </row>
    <row r="168" customFormat="false" ht="15" hidden="false" customHeight="false" outlineLevel="0" collapsed="false">
      <c r="A168" s="0" t="s">
        <v>540</v>
      </c>
      <c r="B168" s="0" t="s">
        <v>494</v>
      </c>
      <c r="C168" s="0" t="s">
        <v>114</v>
      </c>
      <c r="D168" s="0" t="s">
        <v>234</v>
      </c>
      <c r="E168" s="0" t="n">
        <v>2</v>
      </c>
      <c r="F168" s="0" t="s">
        <v>541</v>
      </c>
      <c r="G168" s="0" t="s">
        <v>17</v>
      </c>
    </row>
    <row r="169" customFormat="false" ht="15" hidden="false" customHeight="false" outlineLevel="0" collapsed="false">
      <c r="A169" s="0" t="s">
        <v>542</v>
      </c>
      <c r="B169" s="0" t="s">
        <v>543</v>
      </c>
      <c r="C169" s="0" t="s">
        <v>106</v>
      </c>
      <c r="D169" s="0" t="s">
        <v>138</v>
      </c>
      <c r="E169" s="0" t="n">
        <v>3</v>
      </c>
      <c r="F169" s="0" t="s">
        <v>325</v>
      </c>
      <c r="G169" s="0" t="s">
        <v>17</v>
      </c>
    </row>
    <row r="170" customFormat="false" ht="15" hidden="false" customHeight="false" outlineLevel="0" collapsed="false">
      <c r="A170" s="0" t="s">
        <v>544</v>
      </c>
      <c r="B170" s="0" t="s">
        <v>480</v>
      </c>
      <c r="C170" s="0" t="s">
        <v>295</v>
      </c>
      <c r="D170" s="0" t="s">
        <v>359</v>
      </c>
      <c r="E170" s="0" t="n">
        <v>1</v>
      </c>
      <c r="F170" s="0" t="s">
        <v>473</v>
      </c>
      <c r="G170" s="0" t="s">
        <v>18</v>
      </c>
    </row>
    <row r="171" customFormat="false" ht="15" hidden="false" customHeight="false" outlineLevel="0" collapsed="false">
      <c r="A171" s="0" t="s">
        <v>545</v>
      </c>
      <c r="B171" s="0" t="s">
        <v>530</v>
      </c>
      <c r="C171" s="0" t="s">
        <v>55</v>
      </c>
      <c r="D171" s="0" t="s">
        <v>229</v>
      </c>
      <c r="E171" s="0" t="n">
        <v>2</v>
      </c>
      <c r="F171" s="0" t="s">
        <v>546</v>
      </c>
      <c r="G171" s="0" t="s">
        <v>17</v>
      </c>
    </row>
    <row r="172" customFormat="false" ht="15" hidden="false" customHeight="false" outlineLevel="0" collapsed="false">
      <c r="A172" s="0" t="s">
        <v>547</v>
      </c>
      <c r="B172" s="0" t="s">
        <v>548</v>
      </c>
      <c r="C172" s="0" t="s">
        <v>549</v>
      </c>
      <c r="D172" s="0" t="s">
        <v>377</v>
      </c>
      <c r="E172" s="0" t="n">
        <v>2</v>
      </c>
      <c r="F172" s="0" t="s">
        <v>52</v>
      </c>
      <c r="G172" s="0" t="s">
        <v>18</v>
      </c>
    </row>
    <row r="173" customFormat="false" ht="15" hidden="false" customHeight="false" outlineLevel="0" collapsed="false">
      <c r="A173" s="0" t="s">
        <v>550</v>
      </c>
      <c r="B173" s="0" t="s">
        <v>551</v>
      </c>
      <c r="C173" s="0" t="s">
        <v>256</v>
      </c>
      <c r="D173" s="0" t="s">
        <v>204</v>
      </c>
      <c r="E173" s="0" t="n">
        <v>4</v>
      </c>
      <c r="F173" s="0" t="s">
        <v>205</v>
      </c>
      <c r="G173" s="0" t="s">
        <v>18</v>
      </c>
    </row>
    <row r="174" customFormat="false" ht="15" hidden="false" customHeight="false" outlineLevel="0" collapsed="false">
      <c r="A174" s="0" t="s">
        <v>552</v>
      </c>
      <c r="B174" s="0" t="s">
        <v>553</v>
      </c>
      <c r="C174" s="0" t="s">
        <v>228</v>
      </c>
      <c r="D174" s="0" t="s">
        <v>554</v>
      </c>
      <c r="E174" s="0" t="n">
        <v>3</v>
      </c>
      <c r="F174" s="0" t="s">
        <v>260</v>
      </c>
      <c r="G174" s="0" t="s">
        <v>18</v>
      </c>
    </row>
    <row r="175" customFormat="false" ht="15" hidden="false" customHeight="false" outlineLevel="0" collapsed="false">
      <c r="A175" s="0" t="s">
        <v>555</v>
      </c>
      <c r="B175" s="0" t="s">
        <v>556</v>
      </c>
      <c r="C175" s="0" t="s">
        <v>196</v>
      </c>
      <c r="D175" s="0" t="s">
        <v>36</v>
      </c>
      <c r="E175" s="0" t="n">
        <v>3</v>
      </c>
      <c r="F175" s="0" t="s">
        <v>166</v>
      </c>
      <c r="G175" s="0" t="s">
        <v>19</v>
      </c>
    </row>
    <row r="176" customFormat="false" ht="15" hidden="false" customHeight="false" outlineLevel="0" collapsed="false">
      <c r="A176" s="0" t="s">
        <v>557</v>
      </c>
      <c r="B176" s="0" t="s">
        <v>558</v>
      </c>
      <c r="C176" s="0" t="s">
        <v>362</v>
      </c>
      <c r="D176" s="0" t="s">
        <v>198</v>
      </c>
      <c r="E176" s="0" t="n">
        <v>1</v>
      </c>
      <c r="F176" s="0" t="s">
        <v>120</v>
      </c>
      <c r="G176" s="0" t="s">
        <v>18</v>
      </c>
    </row>
    <row r="177" customFormat="false" ht="15" hidden="false" customHeight="false" outlineLevel="0" collapsed="false">
      <c r="A177" s="0" t="s">
        <v>559</v>
      </c>
      <c r="B177" s="0" t="s">
        <v>192</v>
      </c>
      <c r="C177" s="0" t="s">
        <v>30</v>
      </c>
      <c r="D177" s="0" t="s">
        <v>560</v>
      </c>
      <c r="E177" s="0" t="n">
        <v>2</v>
      </c>
      <c r="F177" s="0" t="s">
        <v>482</v>
      </c>
      <c r="G177" s="0" t="s">
        <v>17</v>
      </c>
    </row>
    <row r="178" customFormat="false" ht="15" hidden="false" customHeight="false" outlineLevel="0" collapsed="false">
      <c r="A178" s="0" t="s">
        <v>561</v>
      </c>
      <c r="B178" s="0" t="s">
        <v>562</v>
      </c>
      <c r="C178" s="0" t="s">
        <v>50</v>
      </c>
      <c r="D178" s="0" t="s">
        <v>46</v>
      </c>
      <c r="E178" s="0" t="n">
        <v>3</v>
      </c>
      <c r="F178" s="0" t="s">
        <v>67</v>
      </c>
      <c r="G178" s="0" t="s">
        <v>20</v>
      </c>
    </row>
    <row r="179" customFormat="false" ht="15" hidden="false" customHeight="false" outlineLevel="0" collapsed="false">
      <c r="A179" s="0" t="s">
        <v>563</v>
      </c>
      <c r="B179" s="0" t="s">
        <v>564</v>
      </c>
      <c r="C179" s="0" t="s">
        <v>228</v>
      </c>
      <c r="D179" s="0" t="s">
        <v>565</v>
      </c>
      <c r="E179" s="0" t="n">
        <v>3</v>
      </c>
      <c r="F179" s="0" t="s">
        <v>465</v>
      </c>
      <c r="G179" s="0" t="s">
        <v>18</v>
      </c>
    </row>
    <row r="180" customFormat="false" ht="15" hidden="false" customHeight="false" outlineLevel="0" collapsed="false">
      <c r="A180" s="0" t="s">
        <v>566</v>
      </c>
      <c r="B180" s="0" t="s">
        <v>567</v>
      </c>
      <c r="C180" s="0" t="s">
        <v>267</v>
      </c>
      <c r="D180" s="0" t="s">
        <v>110</v>
      </c>
      <c r="E180" s="0" t="n">
        <v>3</v>
      </c>
      <c r="F180" s="0" t="s">
        <v>504</v>
      </c>
      <c r="G180" s="0" t="s">
        <v>20</v>
      </c>
    </row>
    <row r="181" customFormat="false" ht="15" hidden="false" customHeight="false" outlineLevel="0" collapsed="false">
      <c r="A181" s="0" t="s">
        <v>568</v>
      </c>
      <c r="B181" s="0" t="s">
        <v>569</v>
      </c>
      <c r="C181" s="0" t="s">
        <v>101</v>
      </c>
      <c r="D181" s="0" t="s">
        <v>570</v>
      </c>
      <c r="E181" s="0" t="n">
        <v>2</v>
      </c>
      <c r="F181" s="0" t="s">
        <v>439</v>
      </c>
      <c r="G181" s="0" t="s">
        <v>17</v>
      </c>
    </row>
    <row r="182" customFormat="false" ht="15" hidden="false" customHeight="false" outlineLevel="0" collapsed="false">
      <c r="A182" s="0" t="s">
        <v>571</v>
      </c>
      <c r="B182" s="0" t="s">
        <v>572</v>
      </c>
      <c r="C182" s="0" t="s">
        <v>150</v>
      </c>
      <c r="D182" s="0" t="s">
        <v>309</v>
      </c>
      <c r="E182" s="0" t="n">
        <v>1</v>
      </c>
      <c r="F182" s="0" t="s">
        <v>76</v>
      </c>
      <c r="G182" s="0" t="s">
        <v>20</v>
      </c>
    </row>
    <row r="183" customFormat="false" ht="15" hidden="false" customHeight="false" outlineLevel="0" collapsed="false">
      <c r="A183" s="0" t="s">
        <v>573</v>
      </c>
      <c r="B183" s="0" t="s">
        <v>574</v>
      </c>
      <c r="C183" s="0" t="s">
        <v>188</v>
      </c>
      <c r="D183" s="0" t="s">
        <v>36</v>
      </c>
      <c r="E183" s="0" t="n">
        <v>1</v>
      </c>
      <c r="F183" s="0" t="s">
        <v>37</v>
      </c>
      <c r="G183" s="0" t="s">
        <v>18</v>
      </c>
    </row>
    <row r="184" customFormat="false" ht="15" hidden="false" customHeight="false" outlineLevel="0" collapsed="false">
      <c r="A184" s="0" t="s">
        <v>575</v>
      </c>
      <c r="B184" s="0" t="s">
        <v>576</v>
      </c>
      <c r="C184" s="0" t="s">
        <v>577</v>
      </c>
      <c r="D184" s="0" t="s">
        <v>84</v>
      </c>
      <c r="E184" s="0" t="n">
        <v>2</v>
      </c>
      <c r="F184" s="0" t="s">
        <v>76</v>
      </c>
      <c r="G184" s="0" t="s">
        <v>19</v>
      </c>
    </row>
    <row r="185" customFormat="false" ht="15" hidden="false" customHeight="false" outlineLevel="0" collapsed="false">
      <c r="A185" s="0" t="s">
        <v>578</v>
      </c>
      <c r="B185" s="0" t="s">
        <v>579</v>
      </c>
      <c r="C185" s="0" t="s">
        <v>106</v>
      </c>
      <c r="D185" s="0" t="s">
        <v>129</v>
      </c>
      <c r="E185" s="0" t="n">
        <v>4</v>
      </c>
      <c r="F185" s="0" t="s">
        <v>580</v>
      </c>
      <c r="G185" s="0" t="s">
        <v>18</v>
      </c>
    </row>
    <row r="186" customFormat="false" ht="15" hidden="false" customHeight="false" outlineLevel="0" collapsed="false">
      <c r="A186" s="0" t="s">
        <v>581</v>
      </c>
      <c r="B186" s="0" t="s">
        <v>582</v>
      </c>
      <c r="C186" s="0" t="s">
        <v>382</v>
      </c>
      <c r="D186" s="0" t="s">
        <v>583</v>
      </c>
      <c r="E186" s="0" t="n">
        <v>4</v>
      </c>
      <c r="F186" s="0" t="s">
        <v>328</v>
      </c>
      <c r="G186" s="0" t="s">
        <v>18</v>
      </c>
    </row>
    <row r="187" customFormat="false" ht="15" hidden="false" customHeight="false" outlineLevel="0" collapsed="false">
      <c r="A187" s="0" t="s">
        <v>584</v>
      </c>
      <c r="B187" s="0" t="s">
        <v>585</v>
      </c>
      <c r="C187" s="0" t="s">
        <v>106</v>
      </c>
      <c r="D187" s="0" t="s">
        <v>259</v>
      </c>
      <c r="E187" s="0" t="n">
        <v>3</v>
      </c>
      <c r="F187" s="0" t="s">
        <v>586</v>
      </c>
      <c r="G187" s="0" t="s">
        <v>18</v>
      </c>
    </row>
    <row r="188" customFormat="false" ht="15" hidden="false" customHeight="false" outlineLevel="0" collapsed="false">
      <c r="A188" s="0" t="s">
        <v>587</v>
      </c>
      <c r="B188" s="0" t="s">
        <v>365</v>
      </c>
      <c r="C188" s="0" t="s">
        <v>438</v>
      </c>
      <c r="D188" s="0" t="s">
        <v>386</v>
      </c>
      <c r="E188" s="0" t="n">
        <v>4</v>
      </c>
      <c r="F188" s="0" t="s">
        <v>588</v>
      </c>
      <c r="G188" s="0" t="s">
        <v>19</v>
      </c>
    </row>
    <row r="189" customFormat="false" ht="15" hidden="false" customHeight="false" outlineLevel="0" collapsed="false">
      <c r="A189" s="0" t="s">
        <v>589</v>
      </c>
      <c r="B189" s="0" t="s">
        <v>317</v>
      </c>
      <c r="C189" s="0" t="s">
        <v>196</v>
      </c>
      <c r="D189" s="0" t="s">
        <v>88</v>
      </c>
      <c r="E189" s="0" t="n">
        <v>1</v>
      </c>
      <c r="F189" s="0" t="s">
        <v>156</v>
      </c>
      <c r="G189" s="0" t="s">
        <v>19</v>
      </c>
    </row>
    <row r="190" customFormat="false" ht="15" hidden="false" customHeight="false" outlineLevel="0" collapsed="false">
      <c r="A190" s="0" t="s">
        <v>590</v>
      </c>
      <c r="B190" s="0" t="s">
        <v>591</v>
      </c>
      <c r="C190" s="0" t="s">
        <v>250</v>
      </c>
      <c r="D190" s="0" t="s">
        <v>592</v>
      </c>
      <c r="E190" s="0" t="n">
        <v>2</v>
      </c>
      <c r="F190" s="0" t="s">
        <v>89</v>
      </c>
      <c r="G190" s="0" t="s">
        <v>20</v>
      </c>
    </row>
    <row r="191" customFormat="false" ht="15" hidden="false" customHeight="false" outlineLevel="0" collapsed="false">
      <c r="A191" s="0" t="s">
        <v>593</v>
      </c>
      <c r="B191" s="0" t="s">
        <v>594</v>
      </c>
      <c r="C191" s="0" t="s">
        <v>238</v>
      </c>
      <c r="D191" s="0" t="s">
        <v>220</v>
      </c>
      <c r="E191" s="0" t="n">
        <v>4</v>
      </c>
      <c r="F191" s="0" t="s">
        <v>522</v>
      </c>
      <c r="G191" s="0" t="s">
        <v>18</v>
      </c>
    </row>
    <row r="192" customFormat="false" ht="15" hidden="false" customHeight="false" outlineLevel="0" collapsed="false">
      <c r="A192" s="0" t="s">
        <v>595</v>
      </c>
      <c r="B192" s="0" t="s">
        <v>596</v>
      </c>
      <c r="C192" s="0" t="s">
        <v>597</v>
      </c>
      <c r="D192" s="0" t="s">
        <v>155</v>
      </c>
      <c r="E192" s="0" t="n">
        <v>1</v>
      </c>
      <c r="F192" s="0" t="s">
        <v>598</v>
      </c>
      <c r="G192" s="0" t="s">
        <v>17</v>
      </c>
    </row>
    <row r="193" customFormat="false" ht="15" hidden="false" customHeight="false" outlineLevel="0" collapsed="false">
      <c r="A193" s="0" t="s">
        <v>599</v>
      </c>
      <c r="B193" s="0" t="s">
        <v>365</v>
      </c>
      <c r="C193" s="0" t="s">
        <v>101</v>
      </c>
      <c r="D193" s="0" t="s">
        <v>324</v>
      </c>
      <c r="E193" s="0" t="n">
        <v>3</v>
      </c>
      <c r="F193" s="0" t="s">
        <v>139</v>
      </c>
      <c r="G193" s="0" t="s">
        <v>20</v>
      </c>
    </row>
    <row r="194" customFormat="false" ht="15" hidden="false" customHeight="false" outlineLevel="0" collapsed="false">
      <c r="A194" s="0" t="s">
        <v>600</v>
      </c>
      <c r="B194" s="0" t="s">
        <v>601</v>
      </c>
      <c r="C194" s="0" t="s">
        <v>188</v>
      </c>
      <c r="D194" s="0" t="s">
        <v>602</v>
      </c>
      <c r="E194" s="0" t="n">
        <v>3</v>
      </c>
      <c r="F194" s="0" t="s">
        <v>420</v>
      </c>
      <c r="G194" s="0" t="s">
        <v>19</v>
      </c>
    </row>
    <row r="195" customFormat="false" ht="15" hidden="false" customHeight="false" outlineLevel="0" collapsed="false">
      <c r="A195" s="0" t="s">
        <v>603</v>
      </c>
      <c r="B195" s="0" t="s">
        <v>604</v>
      </c>
      <c r="C195" s="0" t="s">
        <v>577</v>
      </c>
      <c r="D195" s="0" t="s">
        <v>605</v>
      </c>
      <c r="E195" s="0" t="n">
        <v>1</v>
      </c>
      <c r="F195" s="0" t="s">
        <v>606</v>
      </c>
      <c r="G195" s="0" t="s">
        <v>17</v>
      </c>
    </row>
    <row r="196" customFormat="false" ht="15" hidden="false" customHeight="false" outlineLevel="0" collapsed="false">
      <c r="A196" s="0" t="s">
        <v>575</v>
      </c>
      <c r="B196" s="0" t="s">
        <v>576</v>
      </c>
      <c r="C196" s="0" t="s">
        <v>577</v>
      </c>
      <c r="D196" s="0" t="s">
        <v>84</v>
      </c>
      <c r="E196" s="0" t="n">
        <v>2</v>
      </c>
      <c r="F196" s="0" t="s">
        <v>76</v>
      </c>
      <c r="G196" s="0" t="s">
        <v>19</v>
      </c>
    </row>
    <row r="197" customFormat="false" ht="15" hidden="false" customHeight="false" outlineLevel="0" collapsed="false">
      <c r="A197" s="0" t="s">
        <v>607</v>
      </c>
      <c r="B197" s="0" t="s">
        <v>608</v>
      </c>
      <c r="C197" s="0" t="s">
        <v>50</v>
      </c>
      <c r="D197" s="0" t="s">
        <v>609</v>
      </c>
      <c r="E197" s="0" t="n">
        <v>2</v>
      </c>
      <c r="F197" s="0" t="s">
        <v>57</v>
      </c>
      <c r="G197" s="0" t="s">
        <v>18</v>
      </c>
    </row>
    <row r="198" customFormat="false" ht="15" hidden="false" customHeight="false" outlineLevel="0" collapsed="false">
      <c r="A198" s="0" t="s">
        <v>610</v>
      </c>
      <c r="B198" s="0" t="s">
        <v>543</v>
      </c>
      <c r="C198" s="0" t="s">
        <v>331</v>
      </c>
      <c r="D198" s="0" t="s">
        <v>373</v>
      </c>
      <c r="E198" s="0" t="n">
        <v>1</v>
      </c>
      <c r="F198" s="0" t="s">
        <v>444</v>
      </c>
      <c r="G198" s="0" t="s">
        <v>20</v>
      </c>
    </row>
    <row r="199" customFormat="false" ht="15" hidden="false" customHeight="false" outlineLevel="0" collapsed="false">
      <c r="A199" s="0" t="s">
        <v>611</v>
      </c>
      <c r="B199" s="0" t="s">
        <v>612</v>
      </c>
      <c r="C199" s="0" t="s">
        <v>196</v>
      </c>
      <c r="D199" s="0" t="s">
        <v>213</v>
      </c>
      <c r="E199" s="0" t="n">
        <v>1</v>
      </c>
      <c r="F199" s="0" t="s">
        <v>210</v>
      </c>
      <c r="G199" s="0" t="s">
        <v>19</v>
      </c>
    </row>
    <row r="200" customFormat="false" ht="15" hidden="false" customHeight="false" outlineLevel="0" collapsed="false">
      <c r="A200" s="0" t="s">
        <v>613</v>
      </c>
      <c r="B200" s="0" t="s">
        <v>614</v>
      </c>
      <c r="C200" s="0" t="s">
        <v>256</v>
      </c>
      <c r="D200" s="0" t="s">
        <v>198</v>
      </c>
      <c r="E200" s="0" t="n">
        <v>4</v>
      </c>
      <c r="F200" s="0" t="s">
        <v>615</v>
      </c>
      <c r="G200" s="0" t="s">
        <v>17</v>
      </c>
    </row>
    <row r="201" customFormat="false" ht="15" hidden="false" customHeight="false" outlineLevel="0" collapsed="false">
      <c r="A201" s="0" t="s">
        <v>616</v>
      </c>
      <c r="B201" s="0" t="s">
        <v>617</v>
      </c>
      <c r="C201" s="0" t="s">
        <v>60</v>
      </c>
      <c r="D201" s="0" t="s">
        <v>618</v>
      </c>
      <c r="E201" s="0" t="n">
        <v>1</v>
      </c>
      <c r="F201" s="0" t="s">
        <v>539</v>
      </c>
      <c r="G201" s="0" t="s">
        <v>19</v>
      </c>
    </row>
    <row r="202" customFormat="false" ht="15" hidden="false" customHeight="false" outlineLevel="0" collapsed="false">
      <c r="A202" s="0" t="s">
        <v>619</v>
      </c>
      <c r="B202" s="0" t="s">
        <v>620</v>
      </c>
      <c r="C202" s="0" t="s">
        <v>114</v>
      </c>
      <c r="D202" s="0" t="s">
        <v>621</v>
      </c>
      <c r="E202" s="0" t="n">
        <v>3</v>
      </c>
      <c r="F202" s="0" t="s">
        <v>356</v>
      </c>
      <c r="G202" s="0" t="s">
        <v>18</v>
      </c>
    </row>
    <row r="203" customFormat="false" ht="15" hidden="false" customHeight="false" outlineLevel="0" collapsed="false">
      <c r="A203" s="0" t="s">
        <v>622</v>
      </c>
      <c r="B203" s="0" t="s">
        <v>249</v>
      </c>
      <c r="C203" s="0" t="s">
        <v>243</v>
      </c>
      <c r="D203" s="0" t="s">
        <v>309</v>
      </c>
      <c r="E203" s="0" t="n">
        <v>2</v>
      </c>
      <c r="F203" s="0" t="s">
        <v>85</v>
      </c>
      <c r="G203" s="0" t="s">
        <v>20</v>
      </c>
    </row>
    <row r="204" customFormat="false" ht="15" hidden="false" customHeight="false" outlineLevel="0" collapsed="false">
      <c r="A204" s="0" t="s">
        <v>623</v>
      </c>
      <c r="B204" s="0" t="s">
        <v>376</v>
      </c>
      <c r="C204" s="0" t="s">
        <v>624</v>
      </c>
      <c r="D204" s="0" t="s">
        <v>625</v>
      </c>
      <c r="E204" s="0" t="n">
        <v>1</v>
      </c>
      <c r="F204" s="0" t="s">
        <v>171</v>
      </c>
      <c r="G204" s="0" t="s">
        <v>17</v>
      </c>
    </row>
    <row r="205" customFormat="false" ht="15" hidden="false" customHeight="false" outlineLevel="0" collapsed="false">
      <c r="A205" s="0" t="s">
        <v>626</v>
      </c>
      <c r="B205" s="0" t="s">
        <v>627</v>
      </c>
      <c r="C205" s="0" t="s">
        <v>133</v>
      </c>
      <c r="D205" s="0" t="s">
        <v>628</v>
      </c>
      <c r="E205" s="0" t="n">
        <v>2</v>
      </c>
      <c r="F205" s="0" t="s">
        <v>629</v>
      </c>
      <c r="G205" s="0" t="s">
        <v>18</v>
      </c>
    </row>
    <row r="206" customFormat="false" ht="15" hidden="false" customHeight="false" outlineLevel="0" collapsed="false">
      <c r="A206" s="0" t="s">
        <v>630</v>
      </c>
      <c r="B206" s="0" t="s">
        <v>631</v>
      </c>
      <c r="C206" s="0" t="s">
        <v>577</v>
      </c>
      <c r="D206" s="0" t="s">
        <v>88</v>
      </c>
      <c r="E206" s="0" t="n">
        <v>4</v>
      </c>
      <c r="F206" s="0" t="s">
        <v>598</v>
      </c>
      <c r="G206" s="0" t="s">
        <v>18</v>
      </c>
    </row>
    <row r="207" customFormat="false" ht="15" hidden="false" customHeight="false" outlineLevel="0" collapsed="false">
      <c r="A207" s="0" t="s">
        <v>632</v>
      </c>
      <c r="B207" s="0" t="s">
        <v>633</v>
      </c>
      <c r="C207" s="0" t="s">
        <v>256</v>
      </c>
      <c r="D207" s="0" t="s">
        <v>138</v>
      </c>
      <c r="E207" s="0" t="n">
        <v>2</v>
      </c>
      <c r="F207" s="0" t="s">
        <v>303</v>
      </c>
      <c r="G207" s="0" t="s">
        <v>20</v>
      </c>
    </row>
    <row r="208" customFormat="false" ht="15" hidden="false" customHeight="false" outlineLevel="0" collapsed="false">
      <c r="A208" s="0" t="s">
        <v>634</v>
      </c>
      <c r="B208" s="0" t="s">
        <v>635</v>
      </c>
      <c r="C208" s="0" t="s">
        <v>123</v>
      </c>
      <c r="D208" s="0" t="s">
        <v>213</v>
      </c>
      <c r="E208" s="0" t="n">
        <v>2</v>
      </c>
      <c r="F208" s="0" t="s">
        <v>210</v>
      </c>
      <c r="G208" s="0" t="s">
        <v>20</v>
      </c>
    </row>
    <row r="209" customFormat="false" ht="15" hidden="false" customHeight="false" outlineLevel="0" collapsed="false">
      <c r="A209" s="0" t="s">
        <v>636</v>
      </c>
      <c r="B209" s="0" t="s">
        <v>459</v>
      </c>
      <c r="C209" s="0" t="s">
        <v>133</v>
      </c>
      <c r="D209" s="0" t="s">
        <v>46</v>
      </c>
      <c r="E209" s="0" t="n">
        <v>4</v>
      </c>
      <c r="F209" s="0" t="s">
        <v>47</v>
      </c>
      <c r="G209" s="0" t="s">
        <v>17</v>
      </c>
    </row>
    <row r="210" customFormat="false" ht="15" hidden="false" customHeight="false" outlineLevel="0" collapsed="false">
      <c r="A210" s="0" t="s">
        <v>637</v>
      </c>
      <c r="B210" s="0" t="s">
        <v>638</v>
      </c>
      <c r="C210" s="0" t="s">
        <v>55</v>
      </c>
      <c r="D210" s="0" t="s">
        <v>46</v>
      </c>
      <c r="E210" s="0" t="n">
        <v>3</v>
      </c>
      <c r="F210" s="0" t="s">
        <v>47</v>
      </c>
      <c r="G210" s="0" t="s">
        <v>20</v>
      </c>
    </row>
    <row r="211" customFormat="false" ht="15" hidden="false" customHeight="false" outlineLevel="0" collapsed="false">
      <c r="A211" s="0" t="s">
        <v>639</v>
      </c>
      <c r="B211" s="0" t="s">
        <v>640</v>
      </c>
      <c r="C211" s="0" t="s">
        <v>295</v>
      </c>
      <c r="D211" s="0" t="s">
        <v>110</v>
      </c>
      <c r="E211" s="0" t="n">
        <v>4</v>
      </c>
      <c r="F211" s="0" t="s">
        <v>504</v>
      </c>
      <c r="G211" s="0" t="s">
        <v>19</v>
      </c>
    </row>
    <row r="212" customFormat="false" ht="15" hidden="false" customHeight="false" outlineLevel="0" collapsed="false">
      <c r="A212" s="0" t="s">
        <v>641</v>
      </c>
      <c r="B212" s="0" t="s">
        <v>642</v>
      </c>
      <c r="C212" s="0" t="s">
        <v>228</v>
      </c>
      <c r="D212" s="0" t="s">
        <v>621</v>
      </c>
      <c r="E212" s="0" t="n">
        <v>3</v>
      </c>
      <c r="F212" s="0" t="s">
        <v>120</v>
      </c>
      <c r="G212" s="0" t="s">
        <v>17</v>
      </c>
    </row>
    <row r="213" customFormat="false" ht="15" hidden="false" customHeight="false" outlineLevel="0" collapsed="false">
      <c r="A213" s="0" t="s">
        <v>643</v>
      </c>
      <c r="B213" s="0" t="s">
        <v>644</v>
      </c>
      <c r="C213" s="0" t="s">
        <v>256</v>
      </c>
      <c r="D213" s="0" t="s">
        <v>93</v>
      </c>
      <c r="E213" s="0" t="n">
        <v>3</v>
      </c>
      <c r="F213" s="0" t="s">
        <v>645</v>
      </c>
      <c r="G213" s="0" t="s">
        <v>17</v>
      </c>
    </row>
    <row r="214" customFormat="false" ht="15" hidden="false" customHeight="false" outlineLevel="0" collapsed="false">
      <c r="A214" s="0" t="s">
        <v>646</v>
      </c>
      <c r="B214" s="0" t="s">
        <v>39</v>
      </c>
      <c r="C214" s="0" t="s">
        <v>109</v>
      </c>
      <c r="D214" s="0" t="s">
        <v>259</v>
      </c>
      <c r="E214" s="0" t="n">
        <v>3</v>
      </c>
      <c r="F214" s="0" t="s">
        <v>586</v>
      </c>
      <c r="G214" s="0" t="s">
        <v>17</v>
      </c>
    </row>
    <row r="215" customFormat="false" ht="15" hidden="false" customHeight="false" outlineLevel="0" collapsed="false">
      <c r="A215" s="0" t="s">
        <v>647</v>
      </c>
      <c r="B215" s="0" t="s">
        <v>648</v>
      </c>
      <c r="C215" s="0" t="s">
        <v>109</v>
      </c>
      <c r="D215" s="0" t="s">
        <v>220</v>
      </c>
      <c r="E215" s="0" t="n">
        <v>4</v>
      </c>
      <c r="F215" s="0" t="s">
        <v>221</v>
      </c>
      <c r="G215" s="0" t="s">
        <v>19</v>
      </c>
    </row>
    <row r="216" customFormat="false" ht="15" hidden="false" customHeight="false" outlineLevel="0" collapsed="false">
      <c r="A216" s="0" t="s">
        <v>649</v>
      </c>
      <c r="B216" s="0" t="s">
        <v>414</v>
      </c>
      <c r="C216" s="0" t="s">
        <v>133</v>
      </c>
      <c r="D216" s="0" t="s">
        <v>570</v>
      </c>
      <c r="E216" s="0" t="n">
        <v>2</v>
      </c>
      <c r="F216" s="0" t="s">
        <v>650</v>
      </c>
      <c r="G216" s="0" t="s">
        <v>20</v>
      </c>
    </row>
    <row r="217" customFormat="false" ht="15" hidden="false" customHeight="false" outlineLevel="0" collapsed="false">
      <c r="A217" s="0" t="s">
        <v>651</v>
      </c>
      <c r="B217" s="0" t="s">
        <v>652</v>
      </c>
      <c r="C217" s="0" t="s">
        <v>128</v>
      </c>
      <c r="D217" s="0" t="s">
        <v>93</v>
      </c>
      <c r="E217" s="0" t="n">
        <v>3</v>
      </c>
      <c r="F217" s="0" t="s">
        <v>94</v>
      </c>
      <c r="G217" s="0" t="s">
        <v>17</v>
      </c>
    </row>
    <row r="218" customFormat="false" ht="15" hidden="false" customHeight="false" outlineLevel="0" collapsed="false">
      <c r="A218" s="0" t="s">
        <v>653</v>
      </c>
      <c r="B218" s="0" t="s">
        <v>654</v>
      </c>
      <c r="C218" s="0" t="s">
        <v>50</v>
      </c>
      <c r="D218" s="0" t="s">
        <v>97</v>
      </c>
      <c r="E218" s="0" t="n">
        <v>2</v>
      </c>
      <c r="F218" s="0" t="s">
        <v>655</v>
      </c>
      <c r="G218" s="0" t="s">
        <v>17</v>
      </c>
    </row>
    <row r="219" customFormat="false" ht="15" hidden="false" customHeight="false" outlineLevel="0" collapsed="false">
      <c r="A219" s="0" t="s">
        <v>656</v>
      </c>
      <c r="B219" s="0" t="s">
        <v>657</v>
      </c>
      <c r="C219" s="0" t="s">
        <v>238</v>
      </c>
      <c r="D219" s="0" t="s">
        <v>229</v>
      </c>
      <c r="E219" s="0" t="n">
        <v>4</v>
      </c>
      <c r="F219" s="0" t="s">
        <v>230</v>
      </c>
      <c r="G219" s="0" t="s">
        <v>17</v>
      </c>
    </row>
    <row r="220" customFormat="false" ht="15" hidden="false" customHeight="false" outlineLevel="0" collapsed="false">
      <c r="A220" s="0" t="s">
        <v>658</v>
      </c>
      <c r="B220" s="0" t="s">
        <v>308</v>
      </c>
      <c r="C220" s="0" t="s">
        <v>253</v>
      </c>
      <c r="D220" s="0" t="s">
        <v>659</v>
      </c>
      <c r="E220" s="0" t="n">
        <v>2</v>
      </c>
      <c r="F220" s="0" t="s">
        <v>660</v>
      </c>
      <c r="G220" s="0" t="s">
        <v>18</v>
      </c>
    </row>
    <row r="221" customFormat="false" ht="15" hidden="false" customHeight="false" outlineLevel="0" collapsed="false">
      <c r="A221" s="0" t="s">
        <v>661</v>
      </c>
      <c r="B221" s="0" t="s">
        <v>249</v>
      </c>
      <c r="C221" s="0" t="s">
        <v>438</v>
      </c>
      <c r="D221" s="0" t="s">
        <v>36</v>
      </c>
      <c r="E221" s="0" t="n">
        <v>2</v>
      </c>
      <c r="F221" s="0" t="s">
        <v>166</v>
      </c>
      <c r="G221" s="0" t="s">
        <v>17</v>
      </c>
    </row>
    <row r="222" customFormat="false" ht="15" hidden="false" customHeight="false" outlineLevel="0" collapsed="false">
      <c r="A222" s="0" t="s">
        <v>662</v>
      </c>
      <c r="B222" s="0" t="s">
        <v>663</v>
      </c>
      <c r="C222" s="0" t="s">
        <v>196</v>
      </c>
      <c r="D222" s="0" t="s">
        <v>165</v>
      </c>
      <c r="E222" s="0" t="n">
        <v>3</v>
      </c>
      <c r="F222" s="0" t="s">
        <v>71</v>
      </c>
      <c r="G222" s="0" t="s">
        <v>19</v>
      </c>
    </row>
    <row r="223" customFormat="false" ht="15" hidden="false" customHeight="false" outlineLevel="0" collapsed="false">
      <c r="A223" s="0" t="s">
        <v>664</v>
      </c>
      <c r="B223" s="0" t="s">
        <v>494</v>
      </c>
      <c r="C223" s="0" t="s">
        <v>137</v>
      </c>
      <c r="D223" s="0" t="s">
        <v>170</v>
      </c>
      <c r="E223" s="0" t="n">
        <v>2</v>
      </c>
      <c r="F223" s="0" t="s">
        <v>665</v>
      </c>
      <c r="G223" s="0" t="s">
        <v>18</v>
      </c>
    </row>
    <row r="224" customFormat="false" ht="15" hidden="false" customHeight="false" outlineLevel="0" collapsed="false">
      <c r="A224" s="0" t="s">
        <v>388</v>
      </c>
      <c r="B224" s="0" t="s">
        <v>389</v>
      </c>
      <c r="C224" s="0" t="s">
        <v>174</v>
      </c>
      <c r="D224" s="0" t="s">
        <v>390</v>
      </c>
      <c r="E224" s="0" t="n">
        <v>2</v>
      </c>
      <c r="F224" s="0" t="s">
        <v>139</v>
      </c>
      <c r="G224" s="0" t="s">
        <v>18</v>
      </c>
    </row>
    <row r="225" customFormat="false" ht="15" hidden="false" customHeight="false" outlineLevel="0" collapsed="false">
      <c r="A225" s="0" t="s">
        <v>666</v>
      </c>
      <c r="B225" s="0" t="s">
        <v>96</v>
      </c>
      <c r="C225" s="0" t="s">
        <v>106</v>
      </c>
      <c r="D225" s="0" t="s">
        <v>129</v>
      </c>
      <c r="E225" s="0" t="n">
        <v>3</v>
      </c>
      <c r="F225" s="0" t="s">
        <v>130</v>
      </c>
      <c r="G225" s="0" t="s">
        <v>19</v>
      </c>
    </row>
    <row r="226" customFormat="false" ht="15" hidden="false" customHeight="false" outlineLevel="0" collapsed="false">
      <c r="A226" s="0" t="s">
        <v>667</v>
      </c>
      <c r="B226" s="0" t="s">
        <v>668</v>
      </c>
      <c r="C226" s="0" t="s">
        <v>92</v>
      </c>
      <c r="D226" s="0" t="s">
        <v>198</v>
      </c>
      <c r="E226" s="0" t="n">
        <v>4</v>
      </c>
      <c r="F226" s="0" t="s">
        <v>615</v>
      </c>
      <c r="G226" s="0" t="s">
        <v>18</v>
      </c>
    </row>
    <row r="227" customFormat="false" ht="15" hidden="false" customHeight="false" outlineLevel="0" collapsed="false">
      <c r="A227" s="0" t="s">
        <v>669</v>
      </c>
      <c r="B227" s="0" t="s">
        <v>400</v>
      </c>
      <c r="C227" s="0" t="s">
        <v>435</v>
      </c>
      <c r="D227" s="0" t="s">
        <v>397</v>
      </c>
      <c r="E227" s="0" t="n">
        <v>2</v>
      </c>
      <c r="F227" s="0" t="s">
        <v>482</v>
      </c>
      <c r="G227" s="0" t="s">
        <v>20</v>
      </c>
    </row>
    <row r="228" customFormat="false" ht="15" hidden="false" customHeight="false" outlineLevel="0" collapsed="false">
      <c r="A228" s="0" t="s">
        <v>670</v>
      </c>
      <c r="B228" s="0" t="s">
        <v>49</v>
      </c>
      <c r="C228" s="0" t="s">
        <v>159</v>
      </c>
      <c r="D228" s="0" t="s">
        <v>56</v>
      </c>
      <c r="E228" s="0" t="n">
        <v>1</v>
      </c>
      <c r="F228" s="0" t="s">
        <v>275</v>
      </c>
      <c r="G228" s="0" t="s">
        <v>18</v>
      </c>
    </row>
    <row r="229" customFormat="false" ht="15" hidden="false" customHeight="false" outlineLevel="0" collapsed="false">
      <c r="A229" s="0" t="s">
        <v>671</v>
      </c>
      <c r="B229" s="0" t="s">
        <v>672</v>
      </c>
      <c r="C229" s="0" t="s">
        <v>624</v>
      </c>
      <c r="D229" s="0" t="s">
        <v>229</v>
      </c>
      <c r="E229" s="0" t="n">
        <v>1</v>
      </c>
      <c r="F229" s="0" t="s">
        <v>546</v>
      </c>
      <c r="G229" s="0" t="s">
        <v>17</v>
      </c>
    </row>
    <row r="230" customFormat="false" ht="15" hidden="false" customHeight="false" outlineLevel="0" collapsed="false">
      <c r="A230" s="0" t="s">
        <v>673</v>
      </c>
      <c r="B230" s="0" t="s">
        <v>674</v>
      </c>
      <c r="C230" s="0" t="s">
        <v>549</v>
      </c>
      <c r="D230" s="0" t="s">
        <v>97</v>
      </c>
      <c r="E230" s="0" t="n">
        <v>2</v>
      </c>
      <c r="F230" s="0" t="s">
        <v>655</v>
      </c>
      <c r="G230" s="0" t="s">
        <v>18</v>
      </c>
    </row>
    <row r="231" customFormat="false" ht="15" hidden="false" customHeight="false" outlineLevel="0" collapsed="false">
      <c r="A231" s="0" t="s">
        <v>675</v>
      </c>
      <c r="B231" s="0" t="s">
        <v>506</v>
      </c>
      <c r="C231" s="0" t="s">
        <v>50</v>
      </c>
      <c r="D231" s="0" t="s">
        <v>676</v>
      </c>
      <c r="E231" s="0" t="n">
        <v>2</v>
      </c>
      <c r="F231" s="0" t="s">
        <v>351</v>
      </c>
      <c r="G231" s="0" t="s">
        <v>17</v>
      </c>
    </row>
    <row r="232" customFormat="false" ht="15" hidden="false" customHeight="false" outlineLevel="0" collapsed="false">
      <c r="A232" s="0" t="s">
        <v>677</v>
      </c>
      <c r="B232" s="0" t="s">
        <v>358</v>
      </c>
      <c r="C232" s="0" t="s">
        <v>45</v>
      </c>
      <c r="D232" s="0" t="s">
        <v>481</v>
      </c>
      <c r="E232" s="0" t="n">
        <v>4</v>
      </c>
      <c r="F232" s="0" t="s">
        <v>482</v>
      </c>
      <c r="G232" s="0" t="s">
        <v>19</v>
      </c>
    </row>
    <row r="233" customFormat="false" ht="15" hidden="false" customHeight="false" outlineLevel="0" collapsed="false">
      <c r="A233" s="0" t="s">
        <v>678</v>
      </c>
      <c r="B233" s="0" t="s">
        <v>579</v>
      </c>
      <c r="C233" s="0" t="s">
        <v>30</v>
      </c>
      <c r="D233" s="0" t="s">
        <v>61</v>
      </c>
      <c r="E233" s="0" t="n">
        <v>3</v>
      </c>
      <c r="F233" s="0" t="s">
        <v>522</v>
      </c>
      <c r="G233" s="0" t="s">
        <v>20</v>
      </c>
    </row>
    <row r="234" customFormat="false" ht="15" hidden="false" customHeight="false" outlineLevel="0" collapsed="false">
      <c r="A234" s="0" t="s">
        <v>679</v>
      </c>
      <c r="B234" s="0" t="s">
        <v>680</v>
      </c>
      <c r="C234" s="0" t="s">
        <v>368</v>
      </c>
      <c r="D234" s="0" t="s">
        <v>681</v>
      </c>
      <c r="E234" s="0" t="n">
        <v>1</v>
      </c>
      <c r="F234" s="0" t="s">
        <v>682</v>
      </c>
      <c r="G234" s="0" t="s">
        <v>18</v>
      </c>
    </row>
    <row r="235" customFormat="false" ht="15" hidden="false" customHeight="false" outlineLevel="0" collapsed="false">
      <c r="A235" s="0" t="s">
        <v>683</v>
      </c>
      <c r="B235" s="0" t="s">
        <v>684</v>
      </c>
      <c r="C235" s="0" t="s">
        <v>228</v>
      </c>
      <c r="D235" s="0" t="s">
        <v>61</v>
      </c>
      <c r="E235" s="0" t="n">
        <v>1</v>
      </c>
      <c r="F235" s="0" t="s">
        <v>522</v>
      </c>
      <c r="G235" s="0" t="s">
        <v>18</v>
      </c>
    </row>
    <row r="236" customFormat="false" ht="15" hidden="false" customHeight="false" outlineLevel="0" collapsed="false">
      <c r="A236" s="0" t="s">
        <v>685</v>
      </c>
      <c r="B236" s="0" t="s">
        <v>330</v>
      </c>
      <c r="C236" s="0" t="s">
        <v>150</v>
      </c>
      <c r="D236" s="0" t="s">
        <v>686</v>
      </c>
      <c r="E236" s="0" t="n">
        <v>3</v>
      </c>
      <c r="F236" s="0" t="s">
        <v>687</v>
      </c>
      <c r="G236" s="0" t="s">
        <v>19</v>
      </c>
    </row>
    <row r="237" customFormat="false" ht="15" hidden="false" customHeight="false" outlineLevel="0" collapsed="false">
      <c r="A237" s="0" t="s">
        <v>688</v>
      </c>
      <c r="B237" s="0" t="s">
        <v>689</v>
      </c>
      <c r="C237" s="0" t="s">
        <v>40</v>
      </c>
      <c r="D237" s="0" t="s">
        <v>690</v>
      </c>
      <c r="E237" s="0" t="n">
        <v>4</v>
      </c>
      <c r="F237" s="0" t="s">
        <v>539</v>
      </c>
      <c r="G237" s="0" t="s">
        <v>18</v>
      </c>
    </row>
    <row r="238" customFormat="false" ht="15" hidden="false" customHeight="false" outlineLevel="0" collapsed="false">
      <c r="A238" s="0" t="s">
        <v>691</v>
      </c>
      <c r="B238" s="0" t="s">
        <v>692</v>
      </c>
      <c r="C238" s="0" t="s">
        <v>238</v>
      </c>
      <c r="D238" s="0" t="s">
        <v>693</v>
      </c>
      <c r="E238" s="0" t="n">
        <v>1</v>
      </c>
      <c r="F238" s="0" t="s">
        <v>694</v>
      </c>
      <c r="G238" s="0" t="s">
        <v>19</v>
      </c>
    </row>
    <row r="239" customFormat="false" ht="15" hidden="false" customHeight="false" outlineLevel="0" collapsed="false">
      <c r="A239" s="0" t="s">
        <v>695</v>
      </c>
      <c r="B239" s="0" t="s">
        <v>696</v>
      </c>
      <c r="C239" s="0" t="s">
        <v>577</v>
      </c>
      <c r="D239" s="0" t="s">
        <v>602</v>
      </c>
      <c r="E239" s="0" t="n">
        <v>2</v>
      </c>
      <c r="F239" s="0" t="s">
        <v>363</v>
      </c>
      <c r="G239" s="0" t="s">
        <v>17</v>
      </c>
    </row>
    <row r="240" customFormat="false" ht="15" hidden="false" customHeight="false" outlineLevel="0" collapsed="false">
      <c r="A240" s="0" t="s">
        <v>697</v>
      </c>
      <c r="B240" s="0" t="s">
        <v>698</v>
      </c>
      <c r="C240" s="0" t="s">
        <v>92</v>
      </c>
      <c r="D240" s="0" t="s">
        <v>239</v>
      </c>
      <c r="E240" s="0" t="n">
        <v>2</v>
      </c>
      <c r="F240" s="0" t="s">
        <v>415</v>
      </c>
      <c r="G240" s="0" t="s">
        <v>17</v>
      </c>
    </row>
    <row r="241" customFormat="false" ht="15" hidden="false" customHeight="false" outlineLevel="0" collapsed="false">
      <c r="A241" s="0" t="s">
        <v>699</v>
      </c>
      <c r="B241" s="0" t="s">
        <v>700</v>
      </c>
      <c r="C241" s="0" t="s">
        <v>118</v>
      </c>
      <c r="D241" s="0" t="s">
        <v>701</v>
      </c>
      <c r="E241" s="0" t="n">
        <v>2</v>
      </c>
      <c r="F241" s="0" t="s">
        <v>629</v>
      </c>
      <c r="G241" s="0" t="s">
        <v>17</v>
      </c>
    </row>
    <row r="242" customFormat="false" ht="15" hidden="false" customHeight="false" outlineLevel="0" collapsed="false">
      <c r="A242" s="0" t="s">
        <v>702</v>
      </c>
      <c r="B242" s="0" t="s">
        <v>455</v>
      </c>
      <c r="C242" s="0" t="s">
        <v>169</v>
      </c>
      <c r="D242" s="0" t="s">
        <v>369</v>
      </c>
      <c r="E242" s="0" t="n">
        <v>2</v>
      </c>
      <c r="F242" s="0" t="s">
        <v>703</v>
      </c>
      <c r="G242" s="0" t="s">
        <v>20</v>
      </c>
    </row>
    <row r="243" customFormat="false" ht="15" hidden="false" customHeight="false" outlineLevel="0" collapsed="false">
      <c r="A243" s="0" t="s">
        <v>704</v>
      </c>
      <c r="B243" s="0" t="s">
        <v>698</v>
      </c>
      <c r="C243" s="0" t="s">
        <v>295</v>
      </c>
      <c r="D243" s="0" t="s">
        <v>705</v>
      </c>
      <c r="E243" s="0" t="n">
        <v>4</v>
      </c>
      <c r="F243" s="0" t="s">
        <v>190</v>
      </c>
      <c r="G243" s="0" t="s">
        <v>20</v>
      </c>
    </row>
    <row r="244" customFormat="false" ht="15" hidden="false" customHeight="false" outlineLevel="0" collapsed="false">
      <c r="A244" s="0" t="s">
        <v>706</v>
      </c>
      <c r="B244" s="0" t="s">
        <v>396</v>
      </c>
      <c r="C244" s="0" t="s">
        <v>159</v>
      </c>
      <c r="D244" s="0" t="s">
        <v>707</v>
      </c>
      <c r="E244" s="0" t="n">
        <v>1</v>
      </c>
      <c r="F244" s="0" t="s">
        <v>629</v>
      </c>
      <c r="G244" s="0" t="s">
        <v>18</v>
      </c>
    </row>
    <row r="245" customFormat="false" ht="15" hidden="false" customHeight="false" outlineLevel="0" collapsed="false">
      <c r="A245" s="0" t="s">
        <v>708</v>
      </c>
      <c r="B245" s="0" t="s">
        <v>709</v>
      </c>
      <c r="C245" s="0" t="s">
        <v>133</v>
      </c>
      <c r="D245" s="0" t="s">
        <v>377</v>
      </c>
      <c r="E245" s="0" t="n">
        <v>3</v>
      </c>
      <c r="F245" s="0" t="s">
        <v>52</v>
      </c>
      <c r="G245" s="0" t="s">
        <v>18</v>
      </c>
    </row>
    <row r="246" customFormat="false" ht="15" hidden="false" customHeight="false" outlineLevel="0" collapsed="false">
      <c r="A246" s="0" t="s">
        <v>710</v>
      </c>
      <c r="B246" s="0" t="s">
        <v>443</v>
      </c>
      <c r="C246" s="0" t="s">
        <v>101</v>
      </c>
      <c r="D246" s="0" t="s">
        <v>302</v>
      </c>
      <c r="E246" s="0" t="n">
        <v>4</v>
      </c>
      <c r="F246" s="0" t="s">
        <v>325</v>
      </c>
      <c r="G246" s="0" t="s">
        <v>17</v>
      </c>
    </row>
    <row r="247" customFormat="false" ht="15" hidden="false" customHeight="false" outlineLevel="0" collapsed="false">
      <c r="A247" s="0" t="s">
        <v>711</v>
      </c>
      <c r="B247" s="0" t="s">
        <v>712</v>
      </c>
      <c r="C247" s="0" t="s">
        <v>196</v>
      </c>
      <c r="D247" s="0" t="s">
        <v>46</v>
      </c>
      <c r="E247" s="0" t="n">
        <v>4</v>
      </c>
      <c r="F247" s="0" t="s">
        <v>181</v>
      </c>
      <c r="G247" s="0" t="s">
        <v>20</v>
      </c>
    </row>
    <row r="248" customFormat="false" ht="15" hidden="false" customHeight="false" outlineLevel="0" collapsed="false">
      <c r="A248" s="0" t="s">
        <v>713</v>
      </c>
      <c r="B248" s="0" t="s">
        <v>714</v>
      </c>
      <c r="C248" s="0" t="s">
        <v>109</v>
      </c>
      <c r="D248" s="0" t="s">
        <v>515</v>
      </c>
      <c r="E248" s="0" t="n">
        <v>1</v>
      </c>
      <c r="F248" s="0" t="s">
        <v>682</v>
      </c>
      <c r="G248" s="0" t="s">
        <v>18</v>
      </c>
    </row>
    <row r="249" customFormat="false" ht="15" hidden="false" customHeight="false" outlineLevel="0" collapsed="false">
      <c r="A249" s="0" t="s">
        <v>715</v>
      </c>
      <c r="B249" s="0" t="s">
        <v>716</v>
      </c>
      <c r="C249" s="0" t="s">
        <v>492</v>
      </c>
      <c r="D249" s="0" t="s">
        <v>216</v>
      </c>
      <c r="E249" s="0" t="n">
        <v>4</v>
      </c>
      <c r="F249" s="0" t="s">
        <v>717</v>
      </c>
      <c r="G249" s="0" t="s">
        <v>18</v>
      </c>
    </row>
    <row r="250" customFormat="false" ht="15" hidden="false" customHeight="false" outlineLevel="0" collapsed="false">
      <c r="A250" s="0" t="s">
        <v>718</v>
      </c>
      <c r="B250" s="0" t="s">
        <v>719</v>
      </c>
      <c r="C250" s="0" t="s">
        <v>267</v>
      </c>
      <c r="D250" s="0" t="s">
        <v>335</v>
      </c>
      <c r="E250" s="0" t="n">
        <v>1</v>
      </c>
      <c r="F250" s="0" t="s">
        <v>363</v>
      </c>
      <c r="G250" s="0" t="s">
        <v>20</v>
      </c>
    </row>
    <row r="251" customFormat="false" ht="15" hidden="false" customHeight="false" outlineLevel="0" collapsed="false">
      <c r="A251" s="0" t="s">
        <v>720</v>
      </c>
      <c r="B251" s="0" t="s">
        <v>721</v>
      </c>
      <c r="C251" s="0" t="s">
        <v>150</v>
      </c>
      <c r="D251" s="0" t="s">
        <v>204</v>
      </c>
      <c r="E251" s="0" t="n">
        <v>4</v>
      </c>
      <c r="F251" s="0" t="s">
        <v>344</v>
      </c>
      <c r="G251" s="0" t="s">
        <v>17</v>
      </c>
    </row>
    <row r="252" customFormat="false" ht="15" hidden="false" customHeight="false" outlineLevel="0" collapsed="false">
      <c r="A252" s="0" t="s">
        <v>722</v>
      </c>
      <c r="B252" s="0" t="s">
        <v>272</v>
      </c>
      <c r="C252" s="0" t="s">
        <v>169</v>
      </c>
      <c r="D252" s="0" t="s">
        <v>462</v>
      </c>
      <c r="E252" s="0" t="n">
        <v>3</v>
      </c>
      <c r="F252" s="0" t="s">
        <v>240</v>
      </c>
      <c r="G252" s="0" t="s">
        <v>18</v>
      </c>
    </row>
    <row r="253" customFormat="false" ht="15" hidden="false" customHeight="false" outlineLevel="0" collapsed="false">
      <c r="A253" s="0" t="s">
        <v>723</v>
      </c>
      <c r="B253" s="0" t="s">
        <v>724</v>
      </c>
      <c r="C253" s="0" t="s">
        <v>577</v>
      </c>
      <c r="D253" s="0" t="s">
        <v>220</v>
      </c>
      <c r="E253" s="0" t="n">
        <v>2</v>
      </c>
      <c r="F253" s="0" t="s">
        <v>522</v>
      </c>
      <c r="G253" s="0" t="s">
        <v>17</v>
      </c>
    </row>
    <row r="254" customFormat="false" ht="15" hidden="false" customHeight="false" outlineLevel="0" collapsed="false">
      <c r="A254" s="0" t="s">
        <v>725</v>
      </c>
      <c r="B254" s="0" t="s">
        <v>726</v>
      </c>
      <c r="C254" s="0" t="s">
        <v>295</v>
      </c>
      <c r="D254" s="0" t="s">
        <v>299</v>
      </c>
      <c r="E254" s="0" t="n">
        <v>3</v>
      </c>
      <c r="F254" s="0" t="s">
        <v>161</v>
      </c>
      <c r="G254" s="0" t="s">
        <v>17</v>
      </c>
    </row>
    <row r="255" customFormat="false" ht="15" hidden="false" customHeight="false" outlineLevel="0" collapsed="false">
      <c r="A255" s="0" t="s">
        <v>727</v>
      </c>
      <c r="B255" s="0" t="s">
        <v>728</v>
      </c>
      <c r="C255" s="0" t="s">
        <v>333</v>
      </c>
      <c r="D255" s="0" t="s">
        <v>160</v>
      </c>
      <c r="E255" s="0" t="n">
        <v>2</v>
      </c>
      <c r="F255" s="0" t="s">
        <v>485</v>
      </c>
      <c r="G255" s="0" t="s">
        <v>19</v>
      </c>
    </row>
    <row r="256" customFormat="false" ht="15" hidden="false" customHeight="false" outlineLevel="0" collapsed="false">
      <c r="A256" s="0" t="s">
        <v>729</v>
      </c>
      <c r="B256" s="0" t="s">
        <v>730</v>
      </c>
      <c r="C256" s="0" t="s">
        <v>70</v>
      </c>
      <c r="D256" s="0" t="s">
        <v>229</v>
      </c>
      <c r="E256" s="0" t="n">
        <v>4</v>
      </c>
      <c r="F256" s="0" t="s">
        <v>539</v>
      </c>
      <c r="G256" s="0" t="s">
        <v>20</v>
      </c>
    </row>
    <row r="257" customFormat="false" ht="15" hidden="false" customHeight="false" outlineLevel="0" collapsed="false">
      <c r="A257" s="0" t="s">
        <v>731</v>
      </c>
      <c r="B257" s="0" t="s">
        <v>732</v>
      </c>
      <c r="C257" s="0" t="s">
        <v>301</v>
      </c>
      <c r="D257" s="0" t="s">
        <v>377</v>
      </c>
      <c r="E257" s="0" t="n">
        <v>1</v>
      </c>
      <c r="F257" s="0" t="s">
        <v>52</v>
      </c>
      <c r="G257" s="0" t="s">
        <v>20</v>
      </c>
    </row>
    <row r="258" customFormat="false" ht="15" hidden="false" customHeight="false" outlineLevel="0" collapsed="false">
      <c r="A258" s="0" t="s">
        <v>733</v>
      </c>
      <c r="B258" s="0" t="s">
        <v>734</v>
      </c>
      <c r="C258" s="0" t="s">
        <v>243</v>
      </c>
      <c r="D258" s="0" t="s">
        <v>560</v>
      </c>
      <c r="E258" s="0" t="n">
        <v>3</v>
      </c>
      <c r="F258" s="0" t="s">
        <v>482</v>
      </c>
      <c r="G258" s="0" t="s">
        <v>18</v>
      </c>
    </row>
    <row r="259" customFormat="false" ht="15" hidden="false" customHeight="false" outlineLevel="0" collapsed="false">
      <c r="A259" s="0" t="s">
        <v>735</v>
      </c>
      <c r="B259" s="0" t="s">
        <v>225</v>
      </c>
      <c r="C259" s="0" t="s">
        <v>256</v>
      </c>
      <c r="D259" s="0" t="s">
        <v>36</v>
      </c>
      <c r="E259" s="0" t="n">
        <v>4</v>
      </c>
      <c r="F259" s="0" t="s">
        <v>71</v>
      </c>
      <c r="G259" s="0" t="s">
        <v>18</v>
      </c>
    </row>
    <row r="260" customFormat="false" ht="15" hidden="false" customHeight="false" outlineLevel="0" collapsed="false">
      <c r="A260" s="0" t="s">
        <v>736</v>
      </c>
      <c r="B260" s="0" t="s">
        <v>620</v>
      </c>
      <c r="C260" s="0" t="s">
        <v>518</v>
      </c>
      <c r="D260" s="0" t="s">
        <v>80</v>
      </c>
      <c r="E260" s="0" t="n">
        <v>4</v>
      </c>
      <c r="F260" s="0" t="s">
        <v>737</v>
      </c>
      <c r="G260" s="0" t="s">
        <v>20</v>
      </c>
    </row>
    <row r="261" customFormat="false" ht="15" hidden="false" customHeight="false" outlineLevel="0" collapsed="false">
      <c r="A261" s="0" t="s">
        <v>738</v>
      </c>
      <c r="B261" s="0" t="s">
        <v>739</v>
      </c>
      <c r="C261" s="0" t="s">
        <v>253</v>
      </c>
      <c r="D261" s="0" t="s">
        <v>740</v>
      </c>
      <c r="E261" s="0" t="n">
        <v>2</v>
      </c>
      <c r="F261" s="0" t="s">
        <v>741</v>
      </c>
      <c r="G261" s="0" t="s">
        <v>18</v>
      </c>
    </row>
    <row r="262" customFormat="false" ht="15" hidden="false" customHeight="false" outlineLevel="0" collapsed="false">
      <c r="A262" s="0" t="s">
        <v>742</v>
      </c>
      <c r="B262" s="0" t="s">
        <v>743</v>
      </c>
      <c r="C262" s="0" t="s">
        <v>174</v>
      </c>
      <c r="D262" s="0" t="s">
        <v>84</v>
      </c>
      <c r="E262" s="0" t="n">
        <v>1</v>
      </c>
      <c r="F262" s="0" t="s">
        <v>85</v>
      </c>
      <c r="G262" s="0" t="s">
        <v>19</v>
      </c>
    </row>
    <row r="263" customFormat="false" ht="15" hidden="false" customHeight="false" outlineLevel="0" collapsed="false">
      <c r="A263" s="0" t="s">
        <v>744</v>
      </c>
      <c r="B263" s="0" t="s">
        <v>745</v>
      </c>
      <c r="C263" s="0" t="s">
        <v>50</v>
      </c>
      <c r="D263" s="0" t="s">
        <v>369</v>
      </c>
      <c r="E263" s="0" t="n">
        <v>3</v>
      </c>
      <c r="F263" s="0" t="s">
        <v>370</v>
      </c>
      <c r="G263" s="0" t="s">
        <v>20</v>
      </c>
    </row>
    <row r="264" customFormat="false" ht="15" hidden="false" customHeight="false" outlineLevel="0" collapsed="false">
      <c r="A264" s="0" t="s">
        <v>746</v>
      </c>
      <c r="B264" s="0" t="s">
        <v>747</v>
      </c>
      <c r="C264" s="0" t="s">
        <v>243</v>
      </c>
      <c r="D264" s="0" t="s">
        <v>93</v>
      </c>
      <c r="E264" s="0" t="n">
        <v>1</v>
      </c>
      <c r="F264" s="0" t="s">
        <v>629</v>
      </c>
      <c r="G264" s="0" t="s">
        <v>19</v>
      </c>
    </row>
    <row r="265" customFormat="false" ht="15" hidden="false" customHeight="false" outlineLevel="0" collapsed="false">
      <c r="A265" s="0" t="s">
        <v>748</v>
      </c>
      <c r="B265" s="0" t="s">
        <v>64</v>
      </c>
      <c r="C265" s="0" t="s">
        <v>233</v>
      </c>
      <c r="D265" s="0" t="s">
        <v>302</v>
      </c>
      <c r="E265" s="0" t="n">
        <v>4</v>
      </c>
      <c r="F265" s="0" t="s">
        <v>303</v>
      </c>
      <c r="G265" s="0" t="s">
        <v>17</v>
      </c>
    </row>
    <row r="266" customFormat="false" ht="15" hidden="false" customHeight="false" outlineLevel="0" collapsed="false">
      <c r="A266" s="0" t="s">
        <v>749</v>
      </c>
      <c r="B266" s="0" t="s">
        <v>105</v>
      </c>
      <c r="C266" s="0" t="s">
        <v>35</v>
      </c>
      <c r="D266" s="0" t="s">
        <v>259</v>
      </c>
      <c r="E266" s="0" t="n">
        <v>1</v>
      </c>
      <c r="F266" s="0" t="s">
        <v>586</v>
      </c>
      <c r="G266" s="0" t="s">
        <v>19</v>
      </c>
    </row>
    <row r="267" customFormat="false" ht="15" hidden="false" customHeight="false" outlineLevel="0" collapsed="false">
      <c r="A267" s="0" t="s">
        <v>750</v>
      </c>
      <c r="B267" s="0" t="s">
        <v>751</v>
      </c>
      <c r="C267" s="0" t="s">
        <v>333</v>
      </c>
      <c r="D267" s="0" t="s">
        <v>462</v>
      </c>
      <c r="E267" s="0" t="n">
        <v>3</v>
      </c>
      <c r="F267" s="0" t="s">
        <v>268</v>
      </c>
      <c r="G267" s="0" t="s">
        <v>19</v>
      </c>
    </row>
    <row r="268" customFormat="false" ht="15" hidden="false" customHeight="false" outlineLevel="0" collapsed="false">
      <c r="A268" s="0" t="s">
        <v>752</v>
      </c>
      <c r="B268" s="0" t="s">
        <v>753</v>
      </c>
      <c r="C268" s="0" t="s">
        <v>123</v>
      </c>
      <c r="D268" s="0" t="s">
        <v>321</v>
      </c>
      <c r="E268" s="0" t="n">
        <v>2</v>
      </c>
      <c r="F268" s="0" t="s">
        <v>383</v>
      </c>
      <c r="G268" s="0" t="s">
        <v>19</v>
      </c>
    </row>
    <row r="269" customFormat="false" ht="15" hidden="false" customHeight="false" outlineLevel="0" collapsed="false">
      <c r="A269" s="0" t="s">
        <v>754</v>
      </c>
      <c r="B269" s="0" t="s">
        <v>755</v>
      </c>
      <c r="C269" s="0" t="s">
        <v>114</v>
      </c>
      <c r="D269" s="0" t="s">
        <v>51</v>
      </c>
      <c r="E269" s="0" t="n">
        <v>3</v>
      </c>
      <c r="F269" s="0" t="s">
        <v>650</v>
      </c>
      <c r="G269" s="0" t="s">
        <v>17</v>
      </c>
    </row>
    <row r="270" customFormat="false" ht="15" hidden="false" customHeight="false" outlineLevel="0" collapsed="false">
      <c r="A270" s="0" t="s">
        <v>756</v>
      </c>
      <c r="B270" s="0" t="s">
        <v>757</v>
      </c>
      <c r="C270" s="0" t="s">
        <v>228</v>
      </c>
      <c r="D270" s="0" t="s">
        <v>204</v>
      </c>
      <c r="E270" s="0" t="n">
        <v>4</v>
      </c>
      <c r="F270" s="0" t="s">
        <v>205</v>
      </c>
      <c r="G270" s="0" t="s">
        <v>19</v>
      </c>
    </row>
    <row r="271" customFormat="false" ht="15" hidden="false" customHeight="false" outlineLevel="0" collapsed="false">
      <c r="A271" s="0" t="s">
        <v>758</v>
      </c>
      <c r="B271" s="0" t="s">
        <v>173</v>
      </c>
      <c r="C271" s="0" t="s">
        <v>267</v>
      </c>
      <c r="D271" s="0" t="s">
        <v>257</v>
      </c>
      <c r="E271" s="0" t="n">
        <v>1</v>
      </c>
      <c r="F271" s="0" t="s">
        <v>107</v>
      </c>
      <c r="G271" s="0" t="s">
        <v>20</v>
      </c>
    </row>
    <row r="272" customFormat="false" ht="15" hidden="false" customHeight="false" outlineLevel="0" collapsed="false">
      <c r="A272" s="0" t="s">
        <v>759</v>
      </c>
      <c r="B272" s="0" t="s">
        <v>760</v>
      </c>
      <c r="C272" s="0" t="s">
        <v>150</v>
      </c>
      <c r="D272" s="0" t="s">
        <v>761</v>
      </c>
      <c r="E272" s="0" t="n">
        <v>2</v>
      </c>
      <c r="F272" s="0" t="s">
        <v>741</v>
      </c>
      <c r="G272" s="0" t="s">
        <v>20</v>
      </c>
    </row>
    <row r="273" customFormat="false" ht="15" hidden="false" customHeight="false" outlineLevel="0" collapsed="false">
      <c r="A273" s="0" t="s">
        <v>762</v>
      </c>
      <c r="B273" s="0" t="s">
        <v>763</v>
      </c>
      <c r="C273" s="0" t="s">
        <v>30</v>
      </c>
      <c r="D273" s="0" t="s">
        <v>129</v>
      </c>
      <c r="E273" s="0" t="n">
        <v>4</v>
      </c>
      <c r="F273" s="0" t="s">
        <v>130</v>
      </c>
      <c r="G273" s="0" t="s">
        <v>17</v>
      </c>
    </row>
    <row r="274" customFormat="false" ht="15" hidden="false" customHeight="false" outlineLevel="0" collapsed="false">
      <c r="A274" s="0" t="s">
        <v>764</v>
      </c>
      <c r="B274" s="0" t="s">
        <v>765</v>
      </c>
      <c r="C274" s="0" t="s">
        <v>243</v>
      </c>
      <c r="D274" s="0" t="s">
        <v>766</v>
      </c>
      <c r="E274" s="0" t="n">
        <v>3</v>
      </c>
      <c r="F274" s="0" t="s">
        <v>111</v>
      </c>
      <c r="G274" s="0" t="s">
        <v>19</v>
      </c>
    </row>
    <row r="275" customFormat="false" ht="15" hidden="false" customHeight="false" outlineLevel="0" collapsed="false">
      <c r="A275" s="0" t="s">
        <v>767</v>
      </c>
      <c r="B275" s="0" t="s">
        <v>551</v>
      </c>
      <c r="C275" s="0" t="s">
        <v>368</v>
      </c>
      <c r="D275" s="0" t="s">
        <v>289</v>
      </c>
      <c r="E275" s="0" t="n">
        <v>1</v>
      </c>
      <c r="F275" s="0" t="s">
        <v>245</v>
      </c>
      <c r="G275" s="0" t="s">
        <v>19</v>
      </c>
    </row>
    <row r="276" customFormat="false" ht="15" hidden="false" customHeight="false" outlineLevel="0" collapsed="false">
      <c r="A276" s="0" t="s">
        <v>768</v>
      </c>
      <c r="B276" s="0" t="s">
        <v>96</v>
      </c>
      <c r="C276" s="0" t="s">
        <v>243</v>
      </c>
      <c r="D276" s="0" t="s">
        <v>102</v>
      </c>
      <c r="E276" s="0" t="n">
        <v>3</v>
      </c>
      <c r="F276" s="0" t="s">
        <v>465</v>
      </c>
      <c r="G276" s="0" t="s">
        <v>17</v>
      </c>
    </row>
    <row r="277" customFormat="false" ht="15" hidden="false" customHeight="false" outlineLevel="0" collapsed="false">
      <c r="A277" s="0" t="s">
        <v>769</v>
      </c>
      <c r="B277" s="0" t="s">
        <v>270</v>
      </c>
      <c r="C277" s="0" t="s">
        <v>118</v>
      </c>
      <c r="D277" s="0" t="s">
        <v>770</v>
      </c>
      <c r="E277" s="0" t="n">
        <v>1</v>
      </c>
      <c r="F277" s="0" t="s">
        <v>156</v>
      </c>
      <c r="G277" s="0" t="s">
        <v>17</v>
      </c>
    </row>
    <row r="278" customFormat="false" ht="15" hidden="false" customHeight="false" outlineLevel="0" collapsed="false">
      <c r="A278" s="0" t="s">
        <v>771</v>
      </c>
      <c r="B278" s="0" t="s">
        <v>772</v>
      </c>
      <c r="C278" s="0" t="s">
        <v>295</v>
      </c>
      <c r="D278" s="0" t="s">
        <v>348</v>
      </c>
      <c r="E278" s="0" t="n">
        <v>2</v>
      </c>
      <c r="F278" s="0" t="s">
        <v>339</v>
      </c>
      <c r="G278" s="0" t="s">
        <v>18</v>
      </c>
    </row>
    <row r="279" customFormat="false" ht="15" hidden="false" customHeight="false" outlineLevel="0" collapsed="false">
      <c r="A279" s="0" t="s">
        <v>773</v>
      </c>
      <c r="B279" s="0" t="s">
        <v>774</v>
      </c>
      <c r="C279" s="0" t="s">
        <v>106</v>
      </c>
      <c r="D279" s="0" t="s">
        <v>681</v>
      </c>
      <c r="E279" s="0" t="n">
        <v>4</v>
      </c>
      <c r="F279" s="0" t="s">
        <v>147</v>
      </c>
      <c r="G279" s="0" t="s">
        <v>20</v>
      </c>
    </row>
    <row r="280" customFormat="false" ht="15" hidden="false" customHeight="false" outlineLevel="0" collapsed="false">
      <c r="A280" s="0" t="s">
        <v>775</v>
      </c>
      <c r="B280" s="0" t="s">
        <v>776</v>
      </c>
      <c r="C280" s="0" t="s">
        <v>492</v>
      </c>
      <c r="D280" s="0" t="s">
        <v>80</v>
      </c>
      <c r="E280" s="0" t="n">
        <v>1</v>
      </c>
      <c r="F280" s="0" t="s">
        <v>737</v>
      </c>
      <c r="G280" s="0" t="s">
        <v>17</v>
      </c>
    </row>
    <row r="281" customFormat="false" ht="15" hidden="false" customHeight="false" outlineLevel="0" collapsed="false">
      <c r="A281" s="0" t="s">
        <v>777</v>
      </c>
      <c r="B281" s="0" t="s">
        <v>778</v>
      </c>
      <c r="C281" s="0" t="s">
        <v>83</v>
      </c>
      <c r="D281" s="0" t="s">
        <v>289</v>
      </c>
      <c r="E281" s="0" t="n">
        <v>1</v>
      </c>
      <c r="F281" s="0" t="s">
        <v>245</v>
      </c>
      <c r="G281" s="0" t="s">
        <v>18</v>
      </c>
    </row>
    <row r="282" customFormat="false" ht="15" hidden="false" customHeight="false" outlineLevel="0" collapsed="false">
      <c r="A282" s="0" t="s">
        <v>779</v>
      </c>
      <c r="B282" s="0" t="s">
        <v>780</v>
      </c>
      <c r="C282" s="0" t="s">
        <v>518</v>
      </c>
      <c r="D282" s="0" t="s">
        <v>36</v>
      </c>
      <c r="E282" s="0" t="n">
        <v>3</v>
      </c>
      <c r="F282" s="0" t="s">
        <v>71</v>
      </c>
      <c r="G282" s="0" t="s">
        <v>20</v>
      </c>
    </row>
    <row r="283" customFormat="false" ht="15" hidden="false" customHeight="false" outlineLevel="0" collapsed="false">
      <c r="A283" s="0" t="s">
        <v>781</v>
      </c>
      <c r="B283" s="0" t="s">
        <v>782</v>
      </c>
      <c r="C283" s="0" t="s">
        <v>114</v>
      </c>
      <c r="D283" s="0" t="s">
        <v>565</v>
      </c>
      <c r="E283" s="0" t="n">
        <v>2</v>
      </c>
      <c r="F283" s="0" t="s">
        <v>465</v>
      </c>
      <c r="G283" s="0" t="s">
        <v>17</v>
      </c>
    </row>
    <row r="284" customFormat="false" ht="15" hidden="false" customHeight="false" outlineLevel="0" collapsed="false">
      <c r="A284" s="0" t="s">
        <v>783</v>
      </c>
      <c r="B284" s="0" t="s">
        <v>784</v>
      </c>
      <c r="C284" s="0" t="s">
        <v>577</v>
      </c>
      <c r="D284" s="0" t="s">
        <v>373</v>
      </c>
      <c r="E284" s="0" t="n">
        <v>4</v>
      </c>
      <c r="F284" s="0" t="s">
        <v>444</v>
      </c>
      <c r="G284" s="0" t="s">
        <v>19</v>
      </c>
    </row>
    <row r="285" customFormat="false" ht="15" hidden="false" customHeight="false" outlineLevel="0" collapsed="false">
      <c r="A285" s="0" t="s">
        <v>785</v>
      </c>
      <c r="B285" s="0" t="s">
        <v>786</v>
      </c>
      <c r="C285" s="0" t="s">
        <v>368</v>
      </c>
      <c r="D285" s="0" t="s">
        <v>338</v>
      </c>
      <c r="E285" s="0" t="n">
        <v>3</v>
      </c>
      <c r="F285" s="0" t="s">
        <v>660</v>
      </c>
      <c r="G285" s="0" t="s">
        <v>18</v>
      </c>
    </row>
    <row r="286" customFormat="false" ht="15" hidden="false" customHeight="false" outlineLevel="0" collapsed="false">
      <c r="A286" s="0" t="s">
        <v>77</v>
      </c>
      <c r="B286" s="0" t="s">
        <v>78</v>
      </c>
      <c r="C286" s="0" t="s">
        <v>79</v>
      </c>
      <c r="D286" s="0" t="s">
        <v>80</v>
      </c>
      <c r="E286" s="0" t="n">
        <v>2</v>
      </c>
      <c r="F286" s="0" t="s">
        <v>81</v>
      </c>
      <c r="G286" s="0" t="s">
        <v>17</v>
      </c>
    </row>
    <row r="287" customFormat="false" ht="15" hidden="false" customHeight="false" outlineLevel="0" collapsed="false">
      <c r="A287" s="0" t="s">
        <v>787</v>
      </c>
      <c r="B287" s="0" t="s">
        <v>620</v>
      </c>
      <c r="C287" s="0" t="s">
        <v>60</v>
      </c>
      <c r="D287" s="0" t="s">
        <v>110</v>
      </c>
      <c r="E287" s="0" t="n">
        <v>4</v>
      </c>
      <c r="F287" s="0" t="s">
        <v>115</v>
      </c>
      <c r="G287" s="0" t="s">
        <v>19</v>
      </c>
    </row>
    <row r="288" customFormat="false" ht="15" hidden="false" customHeight="false" outlineLevel="0" collapsed="false">
      <c r="A288" s="0" t="s">
        <v>788</v>
      </c>
      <c r="B288" s="0" t="s">
        <v>789</v>
      </c>
      <c r="C288" s="0" t="s">
        <v>133</v>
      </c>
      <c r="D288" s="0" t="s">
        <v>359</v>
      </c>
      <c r="E288" s="0" t="n">
        <v>2</v>
      </c>
      <c r="F288" s="0" t="s">
        <v>473</v>
      </c>
      <c r="G288" s="0" t="s">
        <v>18</v>
      </c>
    </row>
    <row r="289" customFormat="false" ht="15" hidden="false" customHeight="false" outlineLevel="0" collapsed="false">
      <c r="A289" s="0" t="s">
        <v>236</v>
      </c>
      <c r="B289" s="0" t="s">
        <v>237</v>
      </c>
      <c r="C289" s="0" t="s">
        <v>238</v>
      </c>
      <c r="D289" s="0" t="s">
        <v>239</v>
      </c>
      <c r="E289" s="0" t="n">
        <v>1</v>
      </c>
      <c r="F289" s="0" t="s">
        <v>240</v>
      </c>
      <c r="G289" s="0" t="s">
        <v>19</v>
      </c>
    </row>
    <row r="290" customFormat="false" ht="15" hidden="false" customHeight="false" outlineLevel="0" collapsed="false">
      <c r="A290" s="0" t="s">
        <v>790</v>
      </c>
      <c r="B290" s="0" t="s">
        <v>791</v>
      </c>
      <c r="C290" s="0" t="s">
        <v>150</v>
      </c>
      <c r="D290" s="0" t="s">
        <v>97</v>
      </c>
      <c r="E290" s="0" t="n">
        <v>2</v>
      </c>
      <c r="F290" s="0" t="s">
        <v>655</v>
      </c>
      <c r="G290" s="0" t="s">
        <v>19</v>
      </c>
    </row>
    <row r="291" customFormat="false" ht="15" hidden="false" customHeight="false" outlineLevel="0" collapsed="false">
      <c r="A291" s="0" t="s">
        <v>792</v>
      </c>
      <c r="B291" s="0" t="s">
        <v>793</v>
      </c>
      <c r="C291" s="0" t="s">
        <v>174</v>
      </c>
      <c r="D291" s="0" t="s">
        <v>659</v>
      </c>
      <c r="E291" s="0" t="n">
        <v>2</v>
      </c>
      <c r="F291" s="0" t="s">
        <v>339</v>
      </c>
      <c r="G291" s="0" t="s">
        <v>19</v>
      </c>
    </row>
    <row r="292" customFormat="false" ht="15" hidden="false" customHeight="false" outlineLevel="0" collapsed="false">
      <c r="A292" s="0" t="s">
        <v>794</v>
      </c>
      <c r="B292" s="0" t="s">
        <v>457</v>
      </c>
      <c r="C292" s="0" t="s">
        <v>250</v>
      </c>
      <c r="D292" s="0" t="s">
        <v>216</v>
      </c>
      <c r="E292" s="0" t="n">
        <v>2</v>
      </c>
      <c r="F292" s="0" t="s">
        <v>217</v>
      </c>
      <c r="G292" s="0" t="s">
        <v>19</v>
      </c>
    </row>
    <row r="293" customFormat="false" ht="15" hidden="false" customHeight="false" outlineLevel="0" collapsed="false">
      <c r="A293" s="0" t="s">
        <v>795</v>
      </c>
      <c r="B293" s="0" t="s">
        <v>763</v>
      </c>
      <c r="C293" s="0" t="s">
        <v>624</v>
      </c>
      <c r="D293" s="0" t="s">
        <v>373</v>
      </c>
      <c r="E293" s="0" t="n">
        <v>4</v>
      </c>
      <c r="F293" s="0" t="s">
        <v>374</v>
      </c>
      <c r="G293" s="0" t="s">
        <v>19</v>
      </c>
    </row>
    <row r="294" customFormat="false" ht="15" hidden="false" customHeight="false" outlineLevel="0" collapsed="false">
      <c r="A294" s="0" t="s">
        <v>796</v>
      </c>
      <c r="B294" s="0" t="s">
        <v>784</v>
      </c>
      <c r="C294" s="0" t="s">
        <v>509</v>
      </c>
      <c r="D294" s="0" t="s">
        <v>401</v>
      </c>
      <c r="E294" s="0" t="n">
        <v>2</v>
      </c>
      <c r="F294" s="0" t="s">
        <v>415</v>
      </c>
      <c r="G294" s="0" t="s">
        <v>20</v>
      </c>
    </row>
    <row r="295" customFormat="false" ht="15" hidden="false" customHeight="false" outlineLevel="0" collapsed="false">
      <c r="A295" s="0" t="s">
        <v>797</v>
      </c>
      <c r="B295" s="0" t="s">
        <v>798</v>
      </c>
      <c r="C295" s="0" t="s">
        <v>577</v>
      </c>
      <c r="D295" s="0" t="s">
        <v>799</v>
      </c>
      <c r="E295" s="0" t="n">
        <v>4</v>
      </c>
      <c r="F295" s="0" t="s">
        <v>687</v>
      </c>
      <c r="G295" s="0" t="s">
        <v>17</v>
      </c>
    </row>
    <row r="296" customFormat="false" ht="15" hidden="false" customHeight="false" outlineLevel="0" collapsed="false">
      <c r="A296" s="0" t="s">
        <v>800</v>
      </c>
      <c r="B296" s="0" t="s">
        <v>801</v>
      </c>
      <c r="C296" s="0" t="s">
        <v>114</v>
      </c>
      <c r="D296" s="0" t="s">
        <v>84</v>
      </c>
      <c r="E296" s="0" t="n">
        <v>1</v>
      </c>
      <c r="F296" s="0" t="s">
        <v>152</v>
      </c>
      <c r="G296" s="0" t="s">
        <v>19</v>
      </c>
    </row>
    <row r="297" customFormat="false" ht="15" hidden="false" customHeight="false" outlineLevel="0" collapsed="false">
      <c r="A297" s="0" t="s">
        <v>802</v>
      </c>
      <c r="B297" s="0" t="s">
        <v>803</v>
      </c>
      <c r="C297" s="0" t="s">
        <v>492</v>
      </c>
      <c r="D297" s="0" t="s">
        <v>56</v>
      </c>
      <c r="E297" s="0" t="n">
        <v>1</v>
      </c>
      <c r="F297" s="0" t="s">
        <v>57</v>
      </c>
      <c r="G297" s="0" t="s">
        <v>18</v>
      </c>
    </row>
    <row r="298" customFormat="false" ht="15" hidden="false" customHeight="false" outlineLevel="0" collapsed="false">
      <c r="A298" s="0" t="s">
        <v>804</v>
      </c>
      <c r="B298" s="0" t="s">
        <v>721</v>
      </c>
      <c r="C298" s="0" t="s">
        <v>106</v>
      </c>
      <c r="D298" s="0" t="s">
        <v>84</v>
      </c>
      <c r="E298" s="0" t="n">
        <v>3</v>
      </c>
      <c r="F298" s="0" t="s">
        <v>152</v>
      </c>
      <c r="G298" s="0" t="s">
        <v>18</v>
      </c>
    </row>
    <row r="299" customFormat="false" ht="15" hidden="false" customHeight="false" outlineLevel="0" collapsed="false">
      <c r="A299" s="0" t="s">
        <v>805</v>
      </c>
      <c r="B299" s="0" t="s">
        <v>806</v>
      </c>
      <c r="C299" s="0" t="s">
        <v>492</v>
      </c>
      <c r="D299" s="0" t="s">
        <v>93</v>
      </c>
      <c r="E299" s="0" t="n">
        <v>1</v>
      </c>
      <c r="F299" s="0" t="s">
        <v>94</v>
      </c>
      <c r="G299" s="0" t="s">
        <v>17</v>
      </c>
    </row>
    <row r="300" customFormat="false" ht="15" hidden="false" customHeight="false" outlineLevel="0" collapsed="false">
      <c r="A300" s="0" t="s">
        <v>807</v>
      </c>
      <c r="B300" s="0" t="s">
        <v>808</v>
      </c>
      <c r="C300" s="0" t="s">
        <v>492</v>
      </c>
      <c r="D300" s="0" t="s">
        <v>204</v>
      </c>
      <c r="E300" s="0" t="n">
        <v>2</v>
      </c>
      <c r="F300" s="0" t="s">
        <v>344</v>
      </c>
      <c r="G300" s="0" t="s">
        <v>18</v>
      </c>
    </row>
    <row r="301" customFormat="false" ht="15" hidden="false" customHeight="false" outlineLevel="0" collapsed="false">
      <c r="A301" s="0" t="s">
        <v>809</v>
      </c>
      <c r="B301" s="0" t="s">
        <v>810</v>
      </c>
      <c r="C301" s="0" t="s">
        <v>333</v>
      </c>
      <c r="D301" s="0" t="s">
        <v>377</v>
      </c>
      <c r="E301" s="0" t="n">
        <v>4</v>
      </c>
      <c r="F301" s="0" t="s">
        <v>52</v>
      </c>
      <c r="G301" s="0" t="s">
        <v>20</v>
      </c>
    </row>
    <row r="302" customFormat="false" ht="15" hidden="false" customHeight="false" outlineLevel="0" collapsed="false">
      <c r="A302" s="0" t="s">
        <v>811</v>
      </c>
      <c r="B302" s="0" t="s">
        <v>274</v>
      </c>
      <c r="C302" s="0" t="s">
        <v>233</v>
      </c>
      <c r="D302" s="0" t="s">
        <v>129</v>
      </c>
      <c r="E302" s="0" t="n">
        <v>1</v>
      </c>
      <c r="F302" s="0" t="s">
        <v>130</v>
      </c>
      <c r="G302" s="0" t="s">
        <v>17</v>
      </c>
    </row>
    <row r="303" customFormat="false" ht="15" hidden="false" customHeight="false" outlineLevel="0" collapsed="false">
      <c r="A303" s="0" t="s">
        <v>812</v>
      </c>
      <c r="B303" s="0" t="s">
        <v>813</v>
      </c>
      <c r="C303" s="0" t="s">
        <v>267</v>
      </c>
      <c r="D303" s="0" t="s">
        <v>515</v>
      </c>
      <c r="E303" s="0" t="n">
        <v>2</v>
      </c>
      <c r="F303" s="0" t="s">
        <v>427</v>
      </c>
      <c r="G303" s="0" t="s">
        <v>20</v>
      </c>
    </row>
    <row r="304" customFormat="false" ht="15" hidden="false" customHeight="false" outlineLevel="0" collapsed="false">
      <c r="A304" s="0" t="s">
        <v>814</v>
      </c>
      <c r="B304" s="0" t="s">
        <v>567</v>
      </c>
      <c r="C304" s="0" t="s">
        <v>233</v>
      </c>
      <c r="D304" s="0" t="s">
        <v>124</v>
      </c>
      <c r="E304" s="0" t="n">
        <v>3</v>
      </c>
      <c r="F304" s="0" t="s">
        <v>586</v>
      </c>
      <c r="G304" s="0" t="s">
        <v>19</v>
      </c>
    </row>
    <row r="305" customFormat="false" ht="15" hidden="false" customHeight="false" outlineLevel="0" collapsed="false">
      <c r="A305" s="0" t="s">
        <v>815</v>
      </c>
      <c r="B305" s="0" t="s">
        <v>434</v>
      </c>
      <c r="C305" s="0" t="s">
        <v>333</v>
      </c>
      <c r="D305" s="0" t="s">
        <v>93</v>
      </c>
      <c r="E305" s="0" t="n">
        <v>3</v>
      </c>
      <c r="F305" s="0" t="s">
        <v>94</v>
      </c>
      <c r="G305" s="0" t="s">
        <v>18</v>
      </c>
    </row>
    <row r="306" customFormat="false" ht="15" hidden="false" customHeight="false" outlineLevel="0" collapsed="false">
      <c r="A306" s="0" t="s">
        <v>816</v>
      </c>
      <c r="B306" s="0" t="s">
        <v>793</v>
      </c>
      <c r="C306" s="0" t="s">
        <v>30</v>
      </c>
      <c r="D306" s="0" t="s">
        <v>817</v>
      </c>
      <c r="E306" s="0" t="n">
        <v>3</v>
      </c>
      <c r="F306" s="0" t="s">
        <v>205</v>
      </c>
      <c r="G306" s="0" t="s">
        <v>18</v>
      </c>
    </row>
    <row r="307" customFormat="false" ht="15" hidden="false" customHeight="false" outlineLevel="0" collapsed="false">
      <c r="A307" s="0" t="s">
        <v>818</v>
      </c>
      <c r="B307" s="0" t="s">
        <v>59</v>
      </c>
      <c r="C307" s="0" t="s">
        <v>159</v>
      </c>
      <c r="D307" s="0" t="s">
        <v>36</v>
      </c>
      <c r="E307" s="0" t="n">
        <v>2</v>
      </c>
      <c r="F307" s="0" t="s">
        <v>166</v>
      </c>
      <c r="G307" s="0" t="s">
        <v>20</v>
      </c>
    </row>
    <row r="308" customFormat="false" ht="15" hidden="false" customHeight="false" outlineLevel="0" collapsed="false">
      <c r="A308" s="0" t="s">
        <v>819</v>
      </c>
      <c r="B308" s="0" t="s">
        <v>820</v>
      </c>
      <c r="C308" s="0" t="s">
        <v>142</v>
      </c>
      <c r="D308" s="0" t="s">
        <v>234</v>
      </c>
      <c r="E308" s="0" t="n">
        <v>3</v>
      </c>
      <c r="F308" s="0" t="s">
        <v>541</v>
      </c>
      <c r="G308" s="0" t="s">
        <v>20</v>
      </c>
    </row>
    <row r="309" customFormat="false" ht="15" hidden="false" customHeight="false" outlineLevel="0" collapsed="false">
      <c r="A309" s="0" t="s">
        <v>821</v>
      </c>
      <c r="B309" s="0" t="s">
        <v>822</v>
      </c>
      <c r="C309" s="0" t="s">
        <v>362</v>
      </c>
      <c r="D309" s="0" t="s">
        <v>234</v>
      </c>
      <c r="E309" s="0" t="n">
        <v>2</v>
      </c>
      <c r="F309" s="0" t="s">
        <v>328</v>
      </c>
      <c r="G309" s="0" t="s">
        <v>19</v>
      </c>
    </row>
    <row r="310" customFormat="false" ht="15" hidden="false" customHeight="false" outlineLevel="0" collapsed="false">
      <c r="A310" s="0" t="s">
        <v>823</v>
      </c>
      <c r="B310" s="0" t="s">
        <v>538</v>
      </c>
      <c r="C310" s="0" t="s">
        <v>164</v>
      </c>
      <c r="D310" s="0" t="s">
        <v>369</v>
      </c>
      <c r="E310" s="0" t="n">
        <v>4</v>
      </c>
      <c r="F310" s="0" t="s">
        <v>824</v>
      </c>
      <c r="G310" s="0" t="s">
        <v>20</v>
      </c>
    </row>
    <row r="311" customFormat="false" ht="15" hidden="false" customHeight="false" outlineLevel="0" collapsed="false">
      <c r="A311" s="0" t="s">
        <v>825</v>
      </c>
      <c r="B311" s="0" t="s">
        <v>700</v>
      </c>
      <c r="C311" s="0" t="s">
        <v>362</v>
      </c>
      <c r="D311" s="0" t="s">
        <v>93</v>
      </c>
      <c r="E311" s="0" t="n">
        <v>1</v>
      </c>
      <c r="F311" s="0" t="s">
        <v>94</v>
      </c>
      <c r="G311" s="0" t="s">
        <v>18</v>
      </c>
    </row>
    <row r="312" customFormat="false" ht="15" hidden="false" customHeight="false" outlineLevel="0" collapsed="false">
      <c r="A312" s="0" t="s">
        <v>826</v>
      </c>
      <c r="B312" s="0" t="s">
        <v>827</v>
      </c>
      <c r="C312" s="0" t="s">
        <v>30</v>
      </c>
      <c r="D312" s="0" t="s">
        <v>88</v>
      </c>
      <c r="E312" s="0" t="n">
        <v>3</v>
      </c>
      <c r="F312" s="0" t="s">
        <v>89</v>
      </c>
      <c r="G312" s="0" t="s">
        <v>18</v>
      </c>
    </row>
    <row r="313" customFormat="false" ht="15" hidden="false" customHeight="false" outlineLevel="0" collapsed="false">
      <c r="A313" s="0" t="s">
        <v>828</v>
      </c>
      <c r="B313" s="0" t="s">
        <v>215</v>
      </c>
      <c r="C313" s="0" t="s">
        <v>228</v>
      </c>
      <c r="D313" s="0" t="s">
        <v>138</v>
      </c>
      <c r="E313" s="0" t="n">
        <v>4</v>
      </c>
      <c r="F313" s="0" t="s">
        <v>139</v>
      </c>
      <c r="G313" s="0" t="s">
        <v>17</v>
      </c>
    </row>
    <row r="314" customFormat="false" ht="15" hidden="false" customHeight="false" outlineLevel="0" collapsed="false">
      <c r="A314" s="0" t="s">
        <v>829</v>
      </c>
      <c r="B314" s="0" t="s">
        <v>551</v>
      </c>
      <c r="C314" s="0" t="s">
        <v>83</v>
      </c>
      <c r="D314" s="0" t="s">
        <v>75</v>
      </c>
      <c r="E314" s="0" t="n">
        <v>3</v>
      </c>
      <c r="F314" s="0" t="s">
        <v>76</v>
      </c>
      <c r="G314" s="0" t="s">
        <v>19</v>
      </c>
    </row>
    <row r="315" customFormat="false" ht="15" hidden="false" customHeight="false" outlineLevel="0" collapsed="false">
      <c r="A315" s="0" t="s">
        <v>830</v>
      </c>
      <c r="B315" s="0" t="s">
        <v>831</v>
      </c>
      <c r="C315" s="0" t="s">
        <v>109</v>
      </c>
      <c r="D315" s="0" t="s">
        <v>46</v>
      </c>
      <c r="E315" s="0" t="n">
        <v>2</v>
      </c>
      <c r="F315" s="0" t="s">
        <v>47</v>
      </c>
      <c r="G315" s="0" t="s">
        <v>17</v>
      </c>
    </row>
    <row r="316" customFormat="false" ht="15" hidden="false" customHeight="false" outlineLevel="0" collapsed="false">
      <c r="A316" s="0" t="s">
        <v>832</v>
      </c>
      <c r="B316" s="0" t="s">
        <v>833</v>
      </c>
      <c r="C316" s="0" t="s">
        <v>159</v>
      </c>
      <c r="D316" s="0" t="s">
        <v>46</v>
      </c>
      <c r="E316" s="0" t="n">
        <v>2</v>
      </c>
      <c r="F316" s="0" t="s">
        <v>67</v>
      </c>
      <c r="G316" s="0" t="s">
        <v>18</v>
      </c>
    </row>
    <row r="317" customFormat="false" ht="15" hidden="false" customHeight="false" outlineLevel="0" collapsed="false">
      <c r="A317" s="0" t="s">
        <v>834</v>
      </c>
      <c r="B317" s="0" t="s">
        <v>835</v>
      </c>
      <c r="C317" s="0" t="s">
        <v>45</v>
      </c>
      <c r="D317" s="0" t="s">
        <v>234</v>
      </c>
      <c r="E317" s="0" t="n">
        <v>2</v>
      </c>
      <c r="F317" s="0" t="s">
        <v>328</v>
      </c>
      <c r="G317" s="0" t="s">
        <v>20</v>
      </c>
    </row>
    <row r="318" customFormat="false" ht="15" hidden="false" customHeight="false" outlineLevel="0" collapsed="false">
      <c r="A318" s="0" t="s">
        <v>836</v>
      </c>
      <c r="B318" s="0" t="s">
        <v>782</v>
      </c>
      <c r="C318" s="0" t="s">
        <v>101</v>
      </c>
      <c r="D318" s="0" t="s">
        <v>690</v>
      </c>
      <c r="E318" s="0" t="n">
        <v>2</v>
      </c>
      <c r="F318" s="0" t="s">
        <v>546</v>
      </c>
      <c r="G318" s="0" t="s">
        <v>18</v>
      </c>
    </row>
    <row r="319" customFormat="false" ht="15" hidden="false" customHeight="false" outlineLevel="0" collapsed="false">
      <c r="A319" s="0" t="s">
        <v>837</v>
      </c>
      <c r="B319" s="0" t="s">
        <v>838</v>
      </c>
      <c r="C319" s="0" t="s">
        <v>65</v>
      </c>
      <c r="D319" s="0" t="s">
        <v>204</v>
      </c>
      <c r="E319" s="0" t="n">
        <v>1</v>
      </c>
      <c r="F319" s="0" t="s">
        <v>344</v>
      </c>
      <c r="G319" s="0" t="s">
        <v>19</v>
      </c>
    </row>
    <row r="320" customFormat="false" ht="15" hidden="false" customHeight="false" outlineLevel="0" collapsed="false">
      <c r="A320" s="0" t="s">
        <v>839</v>
      </c>
      <c r="B320" s="0" t="s">
        <v>840</v>
      </c>
      <c r="C320" s="0" t="s">
        <v>492</v>
      </c>
      <c r="D320" s="0" t="s">
        <v>377</v>
      </c>
      <c r="E320" s="0" t="n">
        <v>3</v>
      </c>
      <c r="F320" s="0" t="s">
        <v>439</v>
      </c>
      <c r="G320" s="0" t="s">
        <v>19</v>
      </c>
    </row>
    <row r="321" customFormat="false" ht="15" hidden="false" customHeight="false" outlineLevel="0" collapsed="false">
      <c r="A321" s="0" t="s">
        <v>841</v>
      </c>
      <c r="B321" s="0" t="s">
        <v>842</v>
      </c>
      <c r="C321" s="0" t="s">
        <v>55</v>
      </c>
      <c r="D321" s="0" t="s">
        <v>170</v>
      </c>
      <c r="E321" s="0" t="n">
        <v>3</v>
      </c>
      <c r="F321" s="0" t="s">
        <v>193</v>
      </c>
      <c r="G321" s="0" t="s">
        <v>17</v>
      </c>
    </row>
    <row r="322" customFormat="false" ht="15" hidden="false" customHeight="false" outlineLevel="0" collapsed="false">
      <c r="A322" s="0" t="s">
        <v>203</v>
      </c>
      <c r="B322" s="0" t="s">
        <v>132</v>
      </c>
      <c r="C322" s="0" t="s">
        <v>137</v>
      </c>
      <c r="D322" s="0" t="s">
        <v>204</v>
      </c>
      <c r="E322" s="0" t="n">
        <v>4</v>
      </c>
      <c r="F322" s="0" t="s">
        <v>205</v>
      </c>
      <c r="G322" s="0" t="s">
        <v>20</v>
      </c>
    </row>
    <row r="323" customFormat="false" ht="15" hidden="false" customHeight="false" outlineLevel="0" collapsed="false">
      <c r="A323" s="0" t="s">
        <v>843</v>
      </c>
      <c r="B323" s="0" t="s">
        <v>323</v>
      </c>
      <c r="C323" s="0" t="s">
        <v>368</v>
      </c>
      <c r="D323" s="0" t="s">
        <v>259</v>
      </c>
      <c r="E323" s="0" t="n">
        <v>2</v>
      </c>
      <c r="F323" s="0" t="s">
        <v>125</v>
      </c>
      <c r="G323" s="0" t="s">
        <v>17</v>
      </c>
    </row>
    <row r="324" customFormat="false" ht="15" hidden="false" customHeight="false" outlineLevel="0" collapsed="false">
      <c r="A324" s="0" t="s">
        <v>844</v>
      </c>
      <c r="B324" s="0" t="s">
        <v>784</v>
      </c>
      <c r="C324" s="0" t="s">
        <v>150</v>
      </c>
      <c r="D324" s="0" t="s">
        <v>46</v>
      </c>
      <c r="E324" s="0" t="n">
        <v>2</v>
      </c>
      <c r="F324" s="0" t="s">
        <v>181</v>
      </c>
      <c r="G324" s="0" t="s">
        <v>20</v>
      </c>
    </row>
    <row r="325" customFormat="false" ht="15" hidden="false" customHeight="false" outlineLevel="0" collapsed="false">
      <c r="A325" s="0" t="s">
        <v>845</v>
      </c>
      <c r="B325" s="0" t="s">
        <v>846</v>
      </c>
      <c r="C325" s="0" t="s">
        <v>101</v>
      </c>
      <c r="D325" s="0" t="s">
        <v>51</v>
      </c>
      <c r="E325" s="0" t="n">
        <v>4</v>
      </c>
      <c r="F325" s="0" t="s">
        <v>650</v>
      </c>
      <c r="G325" s="0" t="s">
        <v>20</v>
      </c>
    </row>
    <row r="326" customFormat="false" ht="15" hidden="false" customHeight="false" outlineLevel="0" collapsed="false">
      <c r="A326" s="0" t="s">
        <v>847</v>
      </c>
      <c r="B326" s="0" t="s">
        <v>757</v>
      </c>
      <c r="C326" s="0" t="s">
        <v>188</v>
      </c>
      <c r="D326" s="0" t="s">
        <v>321</v>
      </c>
      <c r="E326" s="0" t="n">
        <v>1</v>
      </c>
      <c r="F326" s="0" t="s">
        <v>383</v>
      </c>
      <c r="G326" s="0" t="s">
        <v>20</v>
      </c>
    </row>
    <row r="327" customFormat="false" ht="15" hidden="false" customHeight="false" outlineLevel="0" collapsed="false">
      <c r="A327" s="0" t="s">
        <v>848</v>
      </c>
      <c r="B327" s="0" t="s">
        <v>414</v>
      </c>
      <c r="C327" s="0" t="s">
        <v>50</v>
      </c>
      <c r="D327" s="0" t="s">
        <v>565</v>
      </c>
      <c r="E327" s="0" t="n">
        <v>2</v>
      </c>
      <c r="F327" s="0" t="s">
        <v>465</v>
      </c>
      <c r="G327" s="0" t="s">
        <v>17</v>
      </c>
    </row>
    <row r="328" customFormat="false" ht="15" hidden="false" customHeight="false" outlineLevel="0" collapsed="false">
      <c r="A328" s="0" t="s">
        <v>447</v>
      </c>
      <c r="B328" s="0" t="s">
        <v>448</v>
      </c>
      <c r="C328" s="0" t="s">
        <v>114</v>
      </c>
      <c r="D328" s="0" t="s">
        <v>449</v>
      </c>
      <c r="E328" s="0" t="n">
        <v>2</v>
      </c>
      <c r="F328" s="0" t="s">
        <v>432</v>
      </c>
      <c r="G328" s="0" t="s">
        <v>18</v>
      </c>
    </row>
    <row r="329" customFormat="false" ht="15" hidden="false" customHeight="false" outlineLevel="0" collapsed="false">
      <c r="A329" s="0" t="s">
        <v>493</v>
      </c>
      <c r="B329" s="0" t="s">
        <v>494</v>
      </c>
      <c r="C329" s="0" t="s">
        <v>106</v>
      </c>
      <c r="D329" s="0" t="s">
        <v>282</v>
      </c>
      <c r="E329" s="0" t="n">
        <v>4</v>
      </c>
      <c r="F329" s="0" t="s">
        <v>473</v>
      </c>
      <c r="G329" s="0" t="s">
        <v>20</v>
      </c>
    </row>
    <row r="330" customFormat="false" ht="15" hidden="false" customHeight="false" outlineLevel="0" collapsed="false">
      <c r="A330" s="0" t="s">
        <v>616</v>
      </c>
      <c r="B330" s="0" t="s">
        <v>617</v>
      </c>
      <c r="C330" s="0" t="s">
        <v>60</v>
      </c>
      <c r="D330" s="0" t="s">
        <v>618</v>
      </c>
      <c r="E330" s="0" t="n">
        <v>1</v>
      </c>
      <c r="F330" s="0" t="s">
        <v>539</v>
      </c>
      <c r="G330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6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2" t="s">
        <v>849</v>
      </c>
      <c r="B1" s="12" t="s">
        <v>850</v>
      </c>
      <c r="C1" s="12" t="s">
        <v>851</v>
      </c>
      <c r="D1" s="12" t="s">
        <v>852</v>
      </c>
      <c r="E1" s="12" t="s">
        <v>853</v>
      </c>
      <c r="F1" s="12" t="s">
        <v>854</v>
      </c>
      <c r="G1" s="12" t="s">
        <v>855</v>
      </c>
      <c r="H1" s="12" t="s">
        <v>2</v>
      </c>
      <c r="I1" s="12" t="s">
        <v>856</v>
      </c>
      <c r="J1" s="12" t="s">
        <v>857</v>
      </c>
    </row>
    <row r="2" customFormat="false" ht="15" hidden="false" customHeight="false" outlineLevel="0" collapsed="false">
      <c r="A2" s="13" t="s">
        <v>529</v>
      </c>
      <c r="B2" s="14" t="n">
        <v>46113</v>
      </c>
      <c r="C2" s="13" t="s">
        <v>142</v>
      </c>
      <c r="D2" s="13" t="s">
        <v>216</v>
      </c>
      <c r="E2" s="13" t="n">
        <v>1</v>
      </c>
      <c r="F2" s="15" t="n">
        <v>30</v>
      </c>
      <c r="G2" s="13" t="s">
        <v>20</v>
      </c>
      <c r="H2" s="13" t="s">
        <v>14</v>
      </c>
      <c r="I2" s="15" t="n">
        <f aca="false">E2*F2</f>
        <v>30</v>
      </c>
      <c r="J2" s="13" t="str">
        <f aca="false">TEXT(B2,"yyyy-mm")</f>
        <v>2026-04</v>
      </c>
    </row>
    <row r="3" customFormat="false" ht="15" hidden="false" customHeight="false" outlineLevel="0" collapsed="false">
      <c r="A3" s="0" t="s">
        <v>545</v>
      </c>
      <c r="B3" s="16" t="n">
        <v>46113</v>
      </c>
      <c r="C3" s="17" t="s">
        <v>55</v>
      </c>
      <c r="D3" s="17" t="s">
        <v>229</v>
      </c>
      <c r="E3" s="0" t="n">
        <v>2</v>
      </c>
      <c r="F3" s="4" t="n">
        <v>31.5</v>
      </c>
      <c r="G3" s="17" t="s">
        <v>17</v>
      </c>
      <c r="H3" s="17" t="s">
        <v>9</v>
      </c>
      <c r="I3" s="4" t="n">
        <f aca="false">E3*F3</f>
        <v>63</v>
      </c>
      <c r="J3" s="0" t="str">
        <f aca="false">TEXT(B3,"yyyy-mm")</f>
        <v>2026-04</v>
      </c>
    </row>
    <row r="4" customFormat="false" ht="15" hidden="false" customHeight="false" outlineLevel="0" collapsed="false">
      <c r="A4" s="0" t="s">
        <v>523</v>
      </c>
      <c r="B4" s="16" t="n">
        <v>46114</v>
      </c>
      <c r="C4" s="17" t="s">
        <v>368</v>
      </c>
      <c r="D4" s="17" t="s">
        <v>239</v>
      </c>
      <c r="E4" s="0" t="n">
        <v>3</v>
      </c>
      <c r="F4" s="4" t="n">
        <v>14.99</v>
      </c>
      <c r="G4" s="17" t="s">
        <v>17</v>
      </c>
      <c r="H4" s="17" t="s">
        <v>11</v>
      </c>
      <c r="I4" s="4" t="n">
        <f aca="false">E4*F4</f>
        <v>44.97</v>
      </c>
      <c r="J4" s="0" t="str">
        <f aca="false">TEXT(B4,"yyyy-mm")</f>
        <v>2026-04</v>
      </c>
    </row>
    <row r="5" customFormat="false" ht="15" hidden="false" customHeight="false" outlineLevel="0" collapsed="false">
      <c r="A5" s="0" t="s">
        <v>578</v>
      </c>
      <c r="B5" s="16" t="n">
        <v>46115</v>
      </c>
      <c r="C5" s="17" t="s">
        <v>106</v>
      </c>
      <c r="D5" s="17" t="s">
        <v>129</v>
      </c>
      <c r="E5" s="0" t="n">
        <v>4</v>
      </c>
      <c r="F5" s="4" t="n">
        <v>11.99</v>
      </c>
      <c r="G5" s="17" t="s">
        <v>18</v>
      </c>
      <c r="H5" s="17" t="s">
        <v>13</v>
      </c>
      <c r="I5" s="4" t="n">
        <f aca="false">E5*F5</f>
        <v>47.96</v>
      </c>
      <c r="J5" s="0" t="str">
        <f aca="false">TEXT(B5,"yyyy-mm")</f>
        <v>2026-04</v>
      </c>
    </row>
    <row r="6" customFormat="false" ht="15" hidden="false" customHeight="false" outlineLevel="0" collapsed="false">
      <c r="A6" s="0" t="s">
        <v>678</v>
      </c>
      <c r="B6" s="16" t="n">
        <v>46115</v>
      </c>
      <c r="C6" s="17" t="s">
        <v>30</v>
      </c>
      <c r="D6" s="17" t="s">
        <v>220</v>
      </c>
      <c r="E6" s="0" t="n">
        <v>3</v>
      </c>
      <c r="F6" s="4" t="n">
        <v>18.5</v>
      </c>
      <c r="G6" s="17" t="s">
        <v>20</v>
      </c>
      <c r="H6" s="17" t="s">
        <v>8</v>
      </c>
      <c r="I6" s="4" t="n">
        <f aca="false">E6*F6</f>
        <v>55.5</v>
      </c>
      <c r="J6" s="0" t="str">
        <f aca="false">TEXT(B6,"yyyy-mm")</f>
        <v>2026-04</v>
      </c>
    </row>
    <row r="7" customFormat="false" ht="15" hidden="false" customHeight="false" outlineLevel="0" collapsed="false">
      <c r="A7" s="0" t="s">
        <v>683</v>
      </c>
      <c r="B7" s="16" t="n">
        <v>46115</v>
      </c>
      <c r="C7" s="17" t="s">
        <v>228</v>
      </c>
      <c r="D7" s="17" t="s">
        <v>220</v>
      </c>
      <c r="E7" s="0" t="n">
        <v>1</v>
      </c>
      <c r="F7" s="4" t="n">
        <v>18.5</v>
      </c>
      <c r="G7" s="17" t="s">
        <v>18</v>
      </c>
      <c r="H7" s="17" t="s">
        <v>8</v>
      </c>
      <c r="I7" s="4" t="n">
        <f aca="false">E7*F7</f>
        <v>18.5</v>
      </c>
      <c r="J7" s="0" t="str">
        <f aca="false">TEXT(B7,"yyyy-mm")</f>
        <v>2026-04</v>
      </c>
    </row>
    <row r="8" customFormat="false" ht="15" hidden="false" customHeight="false" outlineLevel="0" collapsed="false">
      <c r="A8" s="0" t="s">
        <v>651</v>
      </c>
      <c r="B8" s="16" t="n">
        <v>46117</v>
      </c>
      <c r="C8" s="17" t="s">
        <v>128</v>
      </c>
      <c r="D8" s="17" t="s">
        <v>93</v>
      </c>
      <c r="E8" s="0" t="n">
        <v>3</v>
      </c>
      <c r="F8" s="4" t="n">
        <v>17</v>
      </c>
      <c r="G8" s="17" t="s">
        <v>17</v>
      </c>
      <c r="H8" s="17" t="s">
        <v>10</v>
      </c>
      <c r="I8" s="4" t="n">
        <f aca="false">E8*F8</f>
        <v>51</v>
      </c>
      <c r="J8" s="0" t="str">
        <f aca="false">TEXT(B8,"yyyy-mm")</f>
        <v>2026-04</v>
      </c>
    </row>
    <row r="9" customFormat="false" ht="15" hidden="false" customHeight="false" outlineLevel="0" collapsed="false">
      <c r="A9" s="0" t="s">
        <v>653</v>
      </c>
      <c r="B9" s="16" t="n">
        <v>46118</v>
      </c>
      <c r="C9" s="17" t="s">
        <v>50</v>
      </c>
      <c r="D9" s="17" t="s">
        <v>97</v>
      </c>
      <c r="E9" s="0" t="n">
        <v>2</v>
      </c>
      <c r="F9" s="4" t="n">
        <v>8.99</v>
      </c>
      <c r="G9" s="17" t="s">
        <v>17</v>
      </c>
      <c r="H9" s="17" t="s">
        <v>10</v>
      </c>
      <c r="I9" s="4" t="n">
        <f aca="false">E9*F9</f>
        <v>17.98</v>
      </c>
      <c r="J9" s="0" t="str">
        <f aca="false">TEXT(B9,"yyyy-mm")</f>
        <v>2026-04</v>
      </c>
    </row>
    <row r="10" customFormat="false" ht="15" hidden="false" customHeight="false" outlineLevel="0" collapsed="false">
      <c r="A10" s="0" t="s">
        <v>316</v>
      </c>
      <c r="B10" s="16" t="n">
        <v>46119</v>
      </c>
      <c r="C10" s="17" t="s">
        <v>243</v>
      </c>
      <c r="D10" s="17" t="s">
        <v>80</v>
      </c>
      <c r="E10" s="0" t="n">
        <v>3</v>
      </c>
      <c r="F10" s="4" t="n">
        <v>27.99</v>
      </c>
      <c r="G10" s="17" t="s">
        <v>18</v>
      </c>
      <c r="H10" s="17" t="s">
        <v>8</v>
      </c>
      <c r="I10" s="4" t="n">
        <f aca="false">E10*F10</f>
        <v>83.97</v>
      </c>
      <c r="J10" s="0" t="str">
        <f aca="false">TEXT(B10,"yyyy-mm")</f>
        <v>2026-04</v>
      </c>
    </row>
    <row r="11" customFormat="false" ht="15" hidden="false" customHeight="false" outlineLevel="0" collapsed="false">
      <c r="A11" s="0" t="s">
        <v>589</v>
      </c>
      <c r="B11" s="16" t="n">
        <v>46119</v>
      </c>
      <c r="C11" s="17" t="s">
        <v>196</v>
      </c>
      <c r="D11" s="17" t="s">
        <v>88</v>
      </c>
      <c r="E11" s="0" t="n">
        <v>1</v>
      </c>
      <c r="F11" s="4" t="n">
        <v>44</v>
      </c>
      <c r="G11" s="17" t="s">
        <v>19</v>
      </c>
      <c r="H11" s="17" t="s">
        <v>11</v>
      </c>
      <c r="I11" s="4" t="n">
        <f aca="false">E11*F11</f>
        <v>44</v>
      </c>
      <c r="J11" s="0" t="str">
        <f aca="false">TEXT(B11,"yyyy-mm")</f>
        <v>2026-04</v>
      </c>
    </row>
    <row r="12" customFormat="false" ht="15" hidden="false" customHeight="false" outlineLevel="0" collapsed="false">
      <c r="A12" s="0" t="s">
        <v>99</v>
      </c>
      <c r="B12" s="16" t="n">
        <v>46120</v>
      </c>
      <c r="C12" s="17" t="s">
        <v>101</v>
      </c>
      <c r="D12" s="17" t="s">
        <v>102</v>
      </c>
      <c r="E12" s="0" t="n">
        <v>1</v>
      </c>
      <c r="F12" s="4" t="n">
        <v>7.5</v>
      </c>
      <c r="G12" s="17" t="s">
        <v>20</v>
      </c>
      <c r="H12" s="17" t="s">
        <v>12</v>
      </c>
      <c r="I12" s="4" t="n">
        <f aca="false">E12*F12</f>
        <v>7.5</v>
      </c>
      <c r="J12" s="0" t="str">
        <f aca="false">TEXT(B12,"yyyy-mm")</f>
        <v>2026-04</v>
      </c>
    </row>
    <row r="13" customFormat="false" ht="15" hidden="false" customHeight="false" outlineLevel="0" collapsed="false">
      <c r="A13" s="0" t="s">
        <v>332</v>
      </c>
      <c r="B13" s="16" t="n">
        <v>46120</v>
      </c>
      <c r="C13" s="17" t="s">
        <v>333</v>
      </c>
      <c r="D13" s="17" t="s">
        <v>46</v>
      </c>
      <c r="E13" s="0" t="n">
        <v>1</v>
      </c>
      <c r="F13" s="4" t="n">
        <v>9.99</v>
      </c>
      <c r="G13" s="17" t="s">
        <v>18</v>
      </c>
      <c r="H13" s="17" t="s">
        <v>8</v>
      </c>
      <c r="I13" s="4" t="n">
        <f aca="false">E13*F13</f>
        <v>9.99</v>
      </c>
      <c r="J13" s="0" t="str">
        <f aca="false">TEXT(B13,"yyyy-mm")</f>
        <v>2026-04</v>
      </c>
    </row>
    <row r="14" customFormat="false" ht="15" hidden="false" customHeight="false" outlineLevel="0" collapsed="false">
      <c r="A14" s="0" t="s">
        <v>527</v>
      </c>
      <c r="B14" s="16" t="n">
        <v>46120</v>
      </c>
      <c r="C14" s="17" t="s">
        <v>150</v>
      </c>
      <c r="D14" s="17" t="s">
        <v>220</v>
      </c>
      <c r="E14" s="0" t="n">
        <v>4</v>
      </c>
      <c r="F14" s="4" t="n">
        <v>18.5</v>
      </c>
      <c r="G14" s="17" t="s">
        <v>19</v>
      </c>
      <c r="H14" s="17" t="s">
        <v>8</v>
      </c>
      <c r="I14" s="4" t="n">
        <f aca="false">E14*F14</f>
        <v>74</v>
      </c>
      <c r="J14" s="0" t="str">
        <f aca="false">TEXT(B14,"yyyy-mm")</f>
        <v>2026-04</v>
      </c>
    </row>
    <row r="15" customFormat="false" ht="15" hidden="false" customHeight="false" outlineLevel="0" collapsed="false">
      <c r="A15" s="0" t="s">
        <v>406</v>
      </c>
      <c r="B15" s="16" t="n">
        <v>46121</v>
      </c>
      <c r="C15" s="17" t="s">
        <v>106</v>
      </c>
      <c r="D15" s="17" t="s">
        <v>220</v>
      </c>
      <c r="E15" s="0" t="n">
        <v>1</v>
      </c>
      <c r="F15" s="4" t="n">
        <v>18.5</v>
      </c>
      <c r="G15" s="17" t="s">
        <v>20</v>
      </c>
      <c r="H15" s="17" t="s">
        <v>8</v>
      </c>
      <c r="I15" s="4" t="n">
        <f aca="false">E15*F15</f>
        <v>18.5</v>
      </c>
      <c r="J15" s="0" t="str">
        <f aca="false">TEXT(B15,"yyyy-mm")</f>
        <v>2026-04</v>
      </c>
    </row>
    <row r="16" customFormat="false" ht="15" hidden="false" customHeight="false" outlineLevel="0" collapsed="false">
      <c r="A16" s="0" t="s">
        <v>531</v>
      </c>
      <c r="B16" s="16" t="n">
        <v>46121</v>
      </c>
      <c r="C16" s="17" t="s">
        <v>101</v>
      </c>
      <c r="D16" s="17" t="s">
        <v>220</v>
      </c>
      <c r="E16" s="0" t="n">
        <v>4</v>
      </c>
      <c r="F16" s="4" t="n">
        <v>18.5</v>
      </c>
      <c r="G16" s="17" t="s">
        <v>17</v>
      </c>
      <c r="H16" s="17" t="s">
        <v>8</v>
      </c>
      <c r="I16" s="4" t="n">
        <f aca="false">E16*F16</f>
        <v>74</v>
      </c>
      <c r="J16" s="0" t="str">
        <f aca="false">TEXT(B16,"yyyy-mm")</f>
        <v>2026-04</v>
      </c>
    </row>
    <row r="17" customFormat="false" ht="15" hidden="false" customHeight="false" outlineLevel="0" collapsed="false">
      <c r="A17" s="0" t="s">
        <v>764</v>
      </c>
      <c r="B17" s="16" t="n">
        <v>46121</v>
      </c>
      <c r="C17" s="17" t="s">
        <v>243</v>
      </c>
      <c r="D17" s="17" t="s">
        <v>110</v>
      </c>
      <c r="E17" s="0" t="n">
        <v>3</v>
      </c>
      <c r="F17" s="4" t="n">
        <v>14</v>
      </c>
      <c r="G17" s="17" t="s">
        <v>19</v>
      </c>
      <c r="H17" s="17" t="s">
        <v>12</v>
      </c>
      <c r="I17" s="4" t="n">
        <f aca="false">E17*F17</f>
        <v>42</v>
      </c>
      <c r="J17" s="0" t="str">
        <f aca="false">TEXT(B17,"yyyy-mm")</f>
        <v>2026-04</v>
      </c>
    </row>
    <row r="18" customFormat="false" ht="15" hidden="false" customHeight="false" outlineLevel="0" collapsed="false">
      <c r="A18" s="0" t="s">
        <v>841</v>
      </c>
      <c r="B18" s="16" t="n">
        <v>46121</v>
      </c>
      <c r="C18" s="17" t="s">
        <v>55</v>
      </c>
      <c r="D18" s="17" t="s">
        <v>170</v>
      </c>
      <c r="E18" s="0" t="n">
        <v>3</v>
      </c>
      <c r="F18" s="4" t="n">
        <v>36</v>
      </c>
      <c r="G18" s="17" t="s">
        <v>17</v>
      </c>
      <c r="H18" s="17" t="s">
        <v>10</v>
      </c>
      <c r="I18" s="4" t="n">
        <f aca="false">E18*F18</f>
        <v>108</v>
      </c>
      <c r="J18" s="0" t="str">
        <f aca="false">TEXT(B18,"yyyy-mm")</f>
        <v>2026-04</v>
      </c>
    </row>
    <row r="19" customFormat="false" ht="15" hidden="false" customHeight="false" outlineLevel="0" collapsed="false">
      <c r="A19" s="13" t="s">
        <v>715</v>
      </c>
      <c r="B19" s="14" t="n">
        <v>46122</v>
      </c>
      <c r="C19" s="13" t="s">
        <v>492</v>
      </c>
      <c r="D19" s="13" t="s">
        <v>216</v>
      </c>
      <c r="E19" s="13" t="n">
        <v>4</v>
      </c>
      <c r="F19" s="15" t="n">
        <v>30</v>
      </c>
      <c r="G19" s="13" t="s">
        <v>18</v>
      </c>
      <c r="H19" s="13" t="s">
        <v>14</v>
      </c>
      <c r="I19" s="15" t="n">
        <f aca="false">E19*F19</f>
        <v>120</v>
      </c>
      <c r="J19" s="13" t="str">
        <f aca="false">TEXT(B19,"yyyy-mm")</f>
        <v>2026-04</v>
      </c>
    </row>
    <row r="20" customFormat="false" ht="15" hidden="false" customHeight="false" outlineLevel="0" collapsed="false">
      <c r="A20" s="0" t="s">
        <v>140</v>
      </c>
      <c r="B20" s="16" t="n">
        <v>46123</v>
      </c>
      <c r="C20" s="17" t="s">
        <v>142</v>
      </c>
      <c r="D20" s="17" t="s">
        <v>257</v>
      </c>
      <c r="E20" s="0" t="n">
        <v>4</v>
      </c>
      <c r="F20" s="4" t="n">
        <v>45</v>
      </c>
      <c r="G20" s="17" t="s">
        <v>20</v>
      </c>
      <c r="H20" s="17" t="s">
        <v>9</v>
      </c>
      <c r="I20" s="4" t="n">
        <f aca="false">E20*F20</f>
        <v>180</v>
      </c>
      <c r="J20" s="0" t="str">
        <f aca="false">TEXT(B20,"yyyy-mm")</f>
        <v>2026-04</v>
      </c>
    </row>
    <row r="21" customFormat="false" ht="15" hidden="false" customHeight="false" outlineLevel="0" collapsed="false">
      <c r="A21" s="0" t="s">
        <v>452</v>
      </c>
      <c r="B21" s="16" t="n">
        <v>46123</v>
      </c>
      <c r="C21" s="17" t="s">
        <v>30</v>
      </c>
      <c r="D21" s="17" t="s">
        <v>282</v>
      </c>
      <c r="E21" s="0" t="n">
        <v>4</v>
      </c>
      <c r="F21" s="4" t="n">
        <v>34</v>
      </c>
      <c r="G21" s="17" t="s">
        <v>19</v>
      </c>
      <c r="H21" s="17" t="s">
        <v>8</v>
      </c>
      <c r="I21" s="4" t="n">
        <f aca="false">E21*F21</f>
        <v>136</v>
      </c>
      <c r="J21" s="0" t="str">
        <f aca="false">TEXT(B21,"yyyy-mm")</f>
        <v>2026-04</v>
      </c>
    </row>
    <row r="22" customFormat="false" ht="15" hidden="false" customHeight="false" outlineLevel="0" collapsed="false">
      <c r="A22" s="13" t="s">
        <v>384</v>
      </c>
      <c r="B22" s="14" t="n">
        <v>46124</v>
      </c>
      <c r="C22" s="13" t="s">
        <v>101</v>
      </c>
      <c r="D22" s="13" t="s">
        <v>386</v>
      </c>
      <c r="E22" s="13" t="n">
        <v>1</v>
      </c>
      <c r="F22" s="15" t="n">
        <v>4.5</v>
      </c>
      <c r="G22" s="13" t="s">
        <v>17</v>
      </c>
      <c r="H22" s="13" t="s">
        <v>14</v>
      </c>
      <c r="I22" s="15" t="n">
        <f aca="false">E22*F22</f>
        <v>4.5</v>
      </c>
      <c r="J22" s="13" t="str">
        <f aca="false">TEXT(B22,"yyyy-mm")</f>
        <v>2026-04</v>
      </c>
    </row>
    <row r="23" customFormat="false" ht="15" hidden="false" customHeight="false" outlineLevel="0" collapsed="false">
      <c r="A23" s="0" t="s">
        <v>486</v>
      </c>
      <c r="B23" s="16" t="n">
        <v>46124</v>
      </c>
      <c r="C23" s="17" t="s">
        <v>425</v>
      </c>
      <c r="D23" s="17" t="s">
        <v>373</v>
      </c>
      <c r="E23" s="0" t="n">
        <v>3</v>
      </c>
      <c r="F23" s="4" t="n">
        <v>19.99</v>
      </c>
      <c r="G23" s="17" t="s">
        <v>19</v>
      </c>
      <c r="H23" s="17" t="s">
        <v>12</v>
      </c>
      <c r="I23" s="4" t="n">
        <f aca="false">E23*F23</f>
        <v>59.97</v>
      </c>
      <c r="J23" s="0" t="str">
        <f aca="false">TEXT(B23,"yyyy-mm")</f>
        <v>2026-04</v>
      </c>
    </row>
    <row r="24" customFormat="false" ht="15" hidden="false" customHeight="false" outlineLevel="0" collapsed="false">
      <c r="A24" s="0" t="s">
        <v>284</v>
      </c>
      <c r="B24" s="16" t="n">
        <v>46125</v>
      </c>
      <c r="C24" s="17" t="s">
        <v>267</v>
      </c>
      <c r="D24" s="17" t="s">
        <v>36</v>
      </c>
      <c r="E24" s="0" t="n">
        <v>4</v>
      </c>
      <c r="F24" s="4" t="n">
        <v>13.5</v>
      </c>
      <c r="G24" s="17" t="s">
        <v>18</v>
      </c>
      <c r="H24" s="17" t="s">
        <v>11</v>
      </c>
      <c r="I24" s="4" t="n">
        <f aca="false">E24*F24</f>
        <v>54</v>
      </c>
      <c r="J24" s="0" t="str">
        <f aca="false">TEXT(B24,"yyyy-mm")</f>
        <v>2026-04</v>
      </c>
    </row>
    <row r="25" customFormat="false" ht="15" hidden="false" customHeight="false" outlineLevel="0" collapsed="false">
      <c r="A25" s="0" t="s">
        <v>349</v>
      </c>
      <c r="B25" s="16" t="n">
        <v>46125</v>
      </c>
      <c r="C25" s="17" t="s">
        <v>50</v>
      </c>
      <c r="D25" s="17" t="s">
        <v>289</v>
      </c>
      <c r="E25" s="0" t="n">
        <v>2</v>
      </c>
      <c r="F25" s="4" t="n">
        <v>21</v>
      </c>
      <c r="G25" s="17" t="s">
        <v>20</v>
      </c>
      <c r="H25" s="17" t="s">
        <v>10</v>
      </c>
      <c r="I25" s="4" t="n">
        <f aca="false">E25*F25</f>
        <v>42</v>
      </c>
      <c r="J25" s="0" t="str">
        <f aca="false">TEXT(B25,"yyyy-mm")</f>
        <v>2026-04</v>
      </c>
    </row>
    <row r="26" customFormat="false" ht="15" hidden="false" customHeight="false" outlineLevel="0" collapsed="false">
      <c r="A26" s="0" t="s">
        <v>104</v>
      </c>
      <c r="B26" s="16" t="n">
        <v>46126</v>
      </c>
      <c r="C26" s="17" t="s">
        <v>106</v>
      </c>
      <c r="D26" s="17" t="s">
        <v>257</v>
      </c>
      <c r="E26" s="0" t="n">
        <v>3</v>
      </c>
      <c r="F26" s="4" t="n">
        <v>45</v>
      </c>
      <c r="G26" s="17" t="s">
        <v>19</v>
      </c>
      <c r="H26" s="17" t="s">
        <v>9</v>
      </c>
      <c r="I26" s="4" t="n">
        <f aca="false">E26*F26</f>
        <v>135</v>
      </c>
      <c r="J26" s="0" t="str">
        <f aca="false">TEXT(B26,"yyyy-mm")</f>
        <v>2026-04</v>
      </c>
    </row>
    <row r="27" customFormat="false" ht="15" hidden="false" customHeight="false" outlineLevel="0" collapsed="false">
      <c r="A27" s="0" t="s">
        <v>271</v>
      </c>
      <c r="B27" s="16" t="n">
        <v>46126</v>
      </c>
      <c r="C27" s="17" t="s">
        <v>174</v>
      </c>
      <c r="D27" s="17" t="s">
        <v>129</v>
      </c>
      <c r="E27" s="0" t="n">
        <v>2</v>
      </c>
      <c r="F27" s="4" t="n">
        <v>11.99</v>
      </c>
      <c r="G27" s="17" t="s">
        <v>18</v>
      </c>
      <c r="H27" s="17" t="s">
        <v>13</v>
      </c>
      <c r="I27" s="4" t="n">
        <f aca="false">E27*F27</f>
        <v>23.98</v>
      </c>
      <c r="J27" s="0" t="str">
        <f aca="false">TEXT(B27,"yyyy-mm")</f>
        <v>2026-04</v>
      </c>
    </row>
    <row r="28" customFormat="false" ht="15" hidden="false" customHeight="false" outlineLevel="0" collapsed="false">
      <c r="A28" s="0" t="s">
        <v>722</v>
      </c>
      <c r="B28" s="16" t="n">
        <v>46126</v>
      </c>
      <c r="C28" s="17" t="s">
        <v>169</v>
      </c>
      <c r="D28" s="17" t="s">
        <v>239</v>
      </c>
      <c r="E28" s="0" t="n">
        <v>3</v>
      </c>
      <c r="F28" s="4" t="n">
        <v>14.99</v>
      </c>
      <c r="G28" s="17" t="s">
        <v>18</v>
      </c>
      <c r="H28" s="17" t="s">
        <v>11</v>
      </c>
      <c r="I28" s="4" t="n">
        <f aca="false">E28*F28</f>
        <v>44.97</v>
      </c>
      <c r="J28" s="0" t="str">
        <f aca="false">TEXT(B28,"yyyy-mm")</f>
        <v>2026-04</v>
      </c>
    </row>
    <row r="29" customFormat="false" ht="15" hidden="false" customHeight="false" outlineLevel="0" collapsed="false">
      <c r="A29" s="0" t="s">
        <v>749</v>
      </c>
      <c r="B29" s="16" t="n">
        <v>46126</v>
      </c>
      <c r="C29" s="17" t="s">
        <v>35</v>
      </c>
      <c r="D29" s="17" t="s">
        <v>259</v>
      </c>
      <c r="E29" s="0" t="n">
        <v>1</v>
      </c>
      <c r="F29" s="4" t="n">
        <v>11</v>
      </c>
      <c r="G29" s="17" t="s">
        <v>19</v>
      </c>
      <c r="H29" s="17" t="s">
        <v>11</v>
      </c>
      <c r="I29" s="4" t="n">
        <f aca="false">E29*F29</f>
        <v>11</v>
      </c>
      <c r="J29" s="0" t="str">
        <f aca="false">TEXT(B29,"yyyy-mm")</f>
        <v>2026-04</v>
      </c>
    </row>
    <row r="30" customFormat="false" ht="15" hidden="false" customHeight="false" outlineLevel="0" collapsed="false">
      <c r="A30" s="0" t="s">
        <v>788</v>
      </c>
      <c r="B30" s="16" t="n">
        <v>46126</v>
      </c>
      <c r="C30" s="17" t="s">
        <v>133</v>
      </c>
      <c r="D30" s="17" t="s">
        <v>282</v>
      </c>
      <c r="E30" s="0" t="n">
        <v>2</v>
      </c>
      <c r="F30" s="4" t="n">
        <v>34</v>
      </c>
      <c r="G30" s="17" t="s">
        <v>18</v>
      </c>
      <c r="H30" s="17" t="s">
        <v>8</v>
      </c>
      <c r="I30" s="4" t="n">
        <f aca="false">E30*F30</f>
        <v>68</v>
      </c>
      <c r="J30" s="0" t="str">
        <f aca="false">TEXT(B30,"yyyy-mm")</f>
        <v>2026-04</v>
      </c>
    </row>
    <row r="31" customFormat="false" ht="15" hidden="false" customHeight="false" outlineLevel="0" collapsed="false">
      <c r="A31" s="0" t="s">
        <v>254</v>
      </c>
      <c r="B31" s="16" t="n">
        <v>46127</v>
      </c>
      <c r="C31" s="17" t="s">
        <v>256</v>
      </c>
      <c r="D31" s="17" t="s">
        <v>257</v>
      </c>
      <c r="E31" s="0" t="n">
        <v>2</v>
      </c>
      <c r="F31" s="4" t="n">
        <v>45</v>
      </c>
      <c r="G31" s="17" t="s">
        <v>18</v>
      </c>
      <c r="H31" s="17" t="s">
        <v>9</v>
      </c>
      <c r="I31" s="4" t="n">
        <f aca="false">E31*F31</f>
        <v>90</v>
      </c>
      <c r="J31" s="0" t="str">
        <f aca="false">TEXT(B31,"yyyy-mm")</f>
        <v>2026-04</v>
      </c>
    </row>
    <row r="32" customFormat="false" ht="15" hidden="false" customHeight="false" outlineLevel="0" collapsed="false">
      <c r="A32" s="0" t="s">
        <v>785</v>
      </c>
      <c r="B32" s="16" t="n">
        <v>46127</v>
      </c>
      <c r="C32" s="17" t="s">
        <v>368</v>
      </c>
      <c r="D32" s="17" t="s">
        <v>338</v>
      </c>
      <c r="E32" s="0" t="n">
        <v>3</v>
      </c>
      <c r="F32" s="4" t="n">
        <v>16.5</v>
      </c>
      <c r="G32" s="17" t="s">
        <v>18</v>
      </c>
      <c r="H32" s="17" t="s">
        <v>12</v>
      </c>
      <c r="I32" s="4" t="n">
        <f aca="false">E32*F32</f>
        <v>49.5</v>
      </c>
      <c r="J32" s="0" t="str">
        <f aca="false">TEXT(B32,"yyyy-mm")</f>
        <v>2026-04</v>
      </c>
    </row>
    <row r="33" customFormat="false" ht="15" hidden="false" customHeight="false" outlineLevel="0" collapsed="false">
      <c r="A33" s="0" t="s">
        <v>430</v>
      </c>
      <c r="B33" s="16" t="n">
        <v>46128</v>
      </c>
      <c r="C33" s="17" t="s">
        <v>83</v>
      </c>
      <c r="D33" s="17" t="s">
        <v>257</v>
      </c>
      <c r="E33" s="0" t="n">
        <v>4</v>
      </c>
      <c r="F33" s="4" t="n">
        <v>45</v>
      </c>
      <c r="G33" s="17" t="s">
        <v>19</v>
      </c>
      <c r="H33" s="17" t="s">
        <v>9</v>
      </c>
      <c r="I33" s="4" t="n">
        <f aca="false">E33*F33</f>
        <v>180</v>
      </c>
      <c r="J33" s="0" t="str">
        <f aca="false">TEXT(B33,"yyyy-mm")</f>
        <v>2026-04</v>
      </c>
    </row>
    <row r="34" customFormat="false" ht="15" hidden="false" customHeight="false" outlineLevel="0" collapsed="false">
      <c r="A34" s="0" t="s">
        <v>750</v>
      </c>
      <c r="B34" s="16" t="n">
        <v>46128</v>
      </c>
      <c r="C34" s="17" t="s">
        <v>333</v>
      </c>
      <c r="D34" s="17" t="s">
        <v>239</v>
      </c>
      <c r="E34" s="0" t="n">
        <v>3</v>
      </c>
      <c r="F34" s="4" t="n">
        <v>14.99</v>
      </c>
      <c r="G34" s="17" t="s">
        <v>19</v>
      </c>
      <c r="H34" s="17" t="s">
        <v>11</v>
      </c>
      <c r="I34" s="4" t="n">
        <f aca="false">E34*F34</f>
        <v>44.97</v>
      </c>
      <c r="J34" s="0" t="str">
        <f aca="false">TEXT(B34,"yyyy-mm")</f>
        <v>2026-04</v>
      </c>
    </row>
    <row r="35" customFormat="false" ht="15" hidden="false" customHeight="false" outlineLevel="0" collapsed="false">
      <c r="A35" s="0" t="s">
        <v>731</v>
      </c>
      <c r="B35" s="16" t="n">
        <v>46129</v>
      </c>
      <c r="C35" s="17" t="s">
        <v>301</v>
      </c>
      <c r="D35" s="17" t="s">
        <v>377</v>
      </c>
      <c r="E35" s="0" t="n">
        <v>1</v>
      </c>
      <c r="F35" s="4" t="n">
        <v>22</v>
      </c>
      <c r="G35" s="17" t="s">
        <v>20</v>
      </c>
      <c r="H35" s="17" t="s">
        <v>9</v>
      </c>
      <c r="I35" s="4" t="n">
        <f aca="false">E35*F35</f>
        <v>22</v>
      </c>
      <c r="J35" s="0" t="str">
        <f aca="false">TEXT(B35,"yyyy-mm")</f>
        <v>2026-04</v>
      </c>
    </row>
    <row r="36" customFormat="false" ht="15" hidden="false" customHeight="false" outlineLevel="0" collapsed="false">
      <c r="A36" s="0" t="s">
        <v>819</v>
      </c>
      <c r="B36" s="16" t="n">
        <v>46129</v>
      </c>
      <c r="C36" s="17" t="s">
        <v>142</v>
      </c>
      <c r="D36" s="17" t="s">
        <v>234</v>
      </c>
      <c r="E36" s="0" t="n">
        <v>3</v>
      </c>
      <c r="F36" s="4" t="n">
        <v>59.99</v>
      </c>
      <c r="G36" s="17" t="s">
        <v>20</v>
      </c>
      <c r="H36" s="17" t="s">
        <v>8</v>
      </c>
      <c r="I36" s="4" t="n">
        <f aca="false">E36*F36</f>
        <v>179.97</v>
      </c>
      <c r="J36" s="0" t="str">
        <f aca="false">TEXT(B36,"yyyy-mm")</f>
        <v>2026-04</v>
      </c>
    </row>
    <row r="37" customFormat="false" ht="15" hidden="false" customHeight="false" outlineLevel="0" collapsed="false">
      <c r="A37" s="0" t="s">
        <v>291</v>
      </c>
      <c r="B37" s="16" t="n">
        <v>46131</v>
      </c>
      <c r="C37" s="17" t="s">
        <v>137</v>
      </c>
      <c r="D37" s="17" t="s">
        <v>259</v>
      </c>
      <c r="E37" s="0" t="n">
        <v>3</v>
      </c>
      <c r="F37" s="4" t="n">
        <v>11</v>
      </c>
      <c r="G37" s="17" t="s">
        <v>17</v>
      </c>
      <c r="H37" s="17" t="s">
        <v>11</v>
      </c>
      <c r="I37" s="4" t="n">
        <f aca="false">E37*F37</f>
        <v>33</v>
      </c>
      <c r="J37" s="0" t="str">
        <f aca="false">TEXT(B37,"yyyy-mm")</f>
        <v>2026-04</v>
      </c>
    </row>
    <row r="38" customFormat="false" ht="15" hidden="false" customHeight="false" outlineLevel="0" collapsed="false">
      <c r="A38" s="0" t="s">
        <v>421</v>
      </c>
      <c r="B38" s="16" t="n">
        <v>46131</v>
      </c>
      <c r="C38" s="17" t="s">
        <v>133</v>
      </c>
      <c r="D38" s="17" t="s">
        <v>129</v>
      </c>
      <c r="E38" s="0" t="n">
        <v>1</v>
      </c>
      <c r="F38" s="4" t="n">
        <v>11.99</v>
      </c>
      <c r="G38" s="17" t="s">
        <v>17</v>
      </c>
      <c r="H38" s="17" t="s">
        <v>13</v>
      </c>
      <c r="I38" s="4" t="n">
        <f aca="false">E38*F38</f>
        <v>11.99</v>
      </c>
      <c r="J38" s="0" t="str">
        <f aca="false">TEXT(B38,"yyyy-mm")</f>
        <v>2026-04</v>
      </c>
    </row>
    <row r="39" customFormat="false" ht="15" hidden="false" customHeight="false" outlineLevel="0" collapsed="false">
      <c r="A39" s="0" t="s">
        <v>759</v>
      </c>
      <c r="B39" s="16" t="n">
        <v>46131</v>
      </c>
      <c r="C39" s="17" t="s">
        <v>150</v>
      </c>
      <c r="D39" s="17" t="s">
        <v>97</v>
      </c>
      <c r="E39" s="0" t="n">
        <v>2</v>
      </c>
      <c r="F39" s="4" t="n">
        <v>8.99</v>
      </c>
      <c r="G39" s="17" t="s">
        <v>20</v>
      </c>
      <c r="H39" s="17" t="s">
        <v>10</v>
      </c>
      <c r="I39" s="4" t="n">
        <f aca="false">E39*F39</f>
        <v>17.98</v>
      </c>
      <c r="J39" s="0" t="str">
        <f aca="false">TEXT(B39,"yyyy-mm")</f>
        <v>2026-04</v>
      </c>
    </row>
    <row r="40" customFormat="false" ht="15" hidden="false" customHeight="false" outlineLevel="0" collapsed="false">
      <c r="A40" s="0" t="s">
        <v>340</v>
      </c>
      <c r="B40" s="16" t="n">
        <v>46132</v>
      </c>
      <c r="C40" s="17" t="s">
        <v>301</v>
      </c>
      <c r="D40" s="17" t="s">
        <v>282</v>
      </c>
      <c r="E40" s="0" t="n">
        <v>3</v>
      </c>
      <c r="F40" s="4" t="n">
        <v>34</v>
      </c>
      <c r="G40" s="17" t="s">
        <v>17</v>
      </c>
      <c r="H40" s="17" t="s">
        <v>8</v>
      </c>
      <c r="I40" s="4" t="n">
        <f aca="false">E40*F40</f>
        <v>102</v>
      </c>
      <c r="J40" s="0" t="str">
        <f aca="false">TEXT(B40,"yyyy-mm")</f>
        <v>2026-04</v>
      </c>
    </row>
    <row r="41" customFormat="false" ht="15" hidden="false" customHeight="false" outlineLevel="0" collapsed="false">
      <c r="A41" s="0" t="s">
        <v>671</v>
      </c>
      <c r="B41" s="16" t="n">
        <v>46132</v>
      </c>
      <c r="C41" s="17" t="s">
        <v>624</v>
      </c>
      <c r="D41" s="17" t="s">
        <v>229</v>
      </c>
      <c r="E41" s="0" t="n">
        <v>1</v>
      </c>
      <c r="F41" s="4" t="n">
        <v>31.5</v>
      </c>
      <c r="G41" s="17" t="s">
        <v>17</v>
      </c>
      <c r="H41" s="17" t="s">
        <v>9</v>
      </c>
      <c r="I41" s="4" t="n">
        <f aca="false">E41*F41</f>
        <v>31.5</v>
      </c>
      <c r="J41" s="0" t="str">
        <f aca="false">TEXT(B41,"yyyy-mm")</f>
        <v>2026-04</v>
      </c>
    </row>
    <row r="42" customFormat="false" ht="15" hidden="false" customHeight="false" outlineLevel="0" collapsed="false">
      <c r="A42" s="0" t="s">
        <v>319</v>
      </c>
      <c r="B42" s="16" t="n">
        <v>46133</v>
      </c>
      <c r="C42" s="17" t="s">
        <v>50</v>
      </c>
      <c r="D42" s="17" t="s">
        <v>282</v>
      </c>
      <c r="E42" s="0" t="n">
        <v>4</v>
      </c>
      <c r="F42" s="4" t="n">
        <v>34</v>
      </c>
      <c r="G42" s="17" t="s">
        <v>18</v>
      </c>
      <c r="H42" s="17" t="s">
        <v>8</v>
      </c>
      <c r="I42" s="4" t="n">
        <f aca="false">E42*F42</f>
        <v>136</v>
      </c>
      <c r="J42" s="0" t="str">
        <f aca="false">TEXT(B42,"yyyy-mm")</f>
        <v>2026-04</v>
      </c>
    </row>
    <row r="43" customFormat="false" ht="15" hidden="false" customHeight="false" outlineLevel="0" collapsed="false">
      <c r="A43" s="0" t="s">
        <v>409</v>
      </c>
      <c r="B43" s="16" t="n">
        <v>46133</v>
      </c>
      <c r="C43" s="17" t="s">
        <v>164</v>
      </c>
      <c r="D43" s="17" t="s">
        <v>213</v>
      </c>
      <c r="E43" s="0" t="n">
        <v>4</v>
      </c>
      <c r="F43" s="4" t="n">
        <v>24.99</v>
      </c>
      <c r="G43" s="17" t="s">
        <v>19</v>
      </c>
      <c r="H43" s="17" t="s">
        <v>10</v>
      </c>
      <c r="I43" s="4" t="n">
        <f aca="false">E43*F43</f>
        <v>99.96</v>
      </c>
      <c r="J43" s="0" t="str">
        <f aca="false">TEXT(B43,"yyyy-mm")</f>
        <v>2026-04</v>
      </c>
    </row>
    <row r="44" customFormat="false" ht="15" hidden="false" customHeight="false" outlineLevel="0" collapsed="false">
      <c r="A44" s="0" t="s">
        <v>90</v>
      </c>
      <c r="B44" s="16" t="n">
        <v>46134</v>
      </c>
      <c r="C44" s="17" t="s">
        <v>92</v>
      </c>
      <c r="D44" s="17" t="s">
        <v>93</v>
      </c>
      <c r="E44" s="0" t="n">
        <v>2</v>
      </c>
      <c r="F44" s="4" t="n">
        <v>17</v>
      </c>
      <c r="G44" s="17" t="s">
        <v>20</v>
      </c>
      <c r="H44" s="17" t="s">
        <v>10</v>
      </c>
      <c r="I44" s="4" t="n">
        <f aca="false">E44*F44</f>
        <v>34</v>
      </c>
      <c r="J44" s="0" t="str">
        <f aca="false">TEXT(B44,"yyyy-mm")</f>
        <v>2026-04</v>
      </c>
    </row>
    <row r="45" customFormat="false" ht="15" hidden="false" customHeight="false" outlineLevel="0" collapsed="false">
      <c r="A45" s="0" t="s">
        <v>552</v>
      </c>
      <c r="B45" s="16" t="n">
        <v>46134</v>
      </c>
      <c r="C45" s="17" t="s">
        <v>228</v>
      </c>
      <c r="D45" s="17" t="s">
        <v>259</v>
      </c>
      <c r="E45" s="0" t="n">
        <v>3</v>
      </c>
      <c r="F45" s="4" t="n">
        <v>11</v>
      </c>
      <c r="G45" s="17" t="s">
        <v>18</v>
      </c>
      <c r="H45" s="17" t="s">
        <v>11</v>
      </c>
      <c r="I45" s="4" t="n">
        <f aca="false">E45*F45</f>
        <v>33</v>
      </c>
      <c r="J45" s="0" t="str">
        <f aca="false">TEXT(B45,"yyyy-mm")</f>
        <v>2026-04</v>
      </c>
    </row>
    <row r="46" customFormat="false" ht="15" hidden="false" customHeight="false" outlineLevel="0" collapsed="false">
      <c r="A46" s="0" t="s">
        <v>711</v>
      </c>
      <c r="B46" s="16" t="n">
        <v>46135</v>
      </c>
      <c r="C46" s="17" t="s">
        <v>196</v>
      </c>
      <c r="D46" s="17" t="s">
        <v>46</v>
      </c>
      <c r="E46" s="0" t="n">
        <v>4</v>
      </c>
      <c r="F46" s="4" t="n">
        <v>9.99</v>
      </c>
      <c r="G46" s="17" t="s">
        <v>20</v>
      </c>
      <c r="H46" s="17" t="s">
        <v>8</v>
      </c>
      <c r="I46" s="4" t="n">
        <f aca="false">E46*F46</f>
        <v>39.96</v>
      </c>
      <c r="J46" s="0" t="str">
        <f aca="false">TEXT(B46,"yyyy-mm")</f>
        <v>2026-04</v>
      </c>
    </row>
    <row r="47" customFormat="false" ht="15" hidden="false" customHeight="false" outlineLevel="0" collapsed="false">
      <c r="A47" s="0" t="s">
        <v>505</v>
      </c>
      <c r="B47" s="16" t="n">
        <v>46136</v>
      </c>
      <c r="C47" s="17" t="s">
        <v>45</v>
      </c>
      <c r="D47" s="17" t="s">
        <v>129</v>
      </c>
      <c r="E47" s="0" t="n">
        <v>2</v>
      </c>
      <c r="F47" s="4" t="n">
        <v>11.99</v>
      </c>
      <c r="G47" s="17" t="s">
        <v>20</v>
      </c>
      <c r="H47" s="17" t="s">
        <v>13</v>
      </c>
      <c r="I47" s="4" t="n">
        <f aca="false">E47*F47</f>
        <v>23.98</v>
      </c>
      <c r="J47" s="0" t="str">
        <f aca="false">TEXT(B47,"yyyy-mm")</f>
        <v>2026-04</v>
      </c>
    </row>
    <row r="48" customFormat="false" ht="15" hidden="false" customHeight="false" outlineLevel="0" collapsed="false">
      <c r="A48" s="0" t="s">
        <v>675</v>
      </c>
      <c r="B48" s="16" t="n">
        <v>46136</v>
      </c>
      <c r="C48" s="17" t="s">
        <v>50</v>
      </c>
      <c r="D48" s="17" t="s">
        <v>289</v>
      </c>
      <c r="E48" s="0" t="n">
        <v>2</v>
      </c>
      <c r="F48" s="4" t="n">
        <v>21</v>
      </c>
      <c r="G48" s="17" t="s">
        <v>17</v>
      </c>
      <c r="H48" s="17" t="s">
        <v>10</v>
      </c>
      <c r="I48" s="4" t="n">
        <f aca="false">E48*F48</f>
        <v>42</v>
      </c>
      <c r="J48" s="0" t="str">
        <f aca="false">TEXT(B48,"yyyy-mm")</f>
        <v>2026-04</v>
      </c>
    </row>
    <row r="49" customFormat="false" ht="15" hidden="false" customHeight="false" outlineLevel="0" collapsed="false">
      <c r="A49" s="0" t="s">
        <v>826</v>
      </c>
      <c r="B49" s="16" t="n">
        <v>46137</v>
      </c>
      <c r="C49" s="17" t="s">
        <v>30</v>
      </c>
      <c r="D49" s="17" t="s">
        <v>88</v>
      </c>
      <c r="E49" s="0" t="n">
        <v>3</v>
      </c>
      <c r="F49" s="4" t="n">
        <v>44</v>
      </c>
      <c r="G49" s="17" t="s">
        <v>18</v>
      </c>
      <c r="H49" s="17" t="s">
        <v>11</v>
      </c>
      <c r="I49" s="4" t="n">
        <f aca="false">E49*F49</f>
        <v>132</v>
      </c>
      <c r="J49" s="0" t="str">
        <f aca="false">TEXT(B49,"yyyy-mm")</f>
        <v>2026-04</v>
      </c>
    </row>
    <row r="50" customFormat="false" ht="15" hidden="false" customHeight="false" outlineLevel="0" collapsed="false">
      <c r="A50" s="0" t="s">
        <v>679</v>
      </c>
      <c r="B50" s="16" t="n">
        <v>46138</v>
      </c>
      <c r="C50" s="17" t="s">
        <v>368</v>
      </c>
      <c r="D50" s="17" t="s">
        <v>681</v>
      </c>
      <c r="E50" s="0" t="n">
        <v>1</v>
      </c>
      <c r="F50" s="4" t="n">
        <v>15</v>
      </c>
      <c r="G50" s="17" t="s">
        <v>18</v>
      </c>
      <c r="H50" s="17" t="s">
        <v>13</v>
      </c>
      <c r="I50" s="4" t="n">
        <f aca="false">E50*F50</f>
        <v>15</v>
      </c>
      <c r="J50" s="0" t="str">
        <f aca="false">TEXT(B50,"yyyy-mm")</f>
        <v>2026-04</v>
      </c>
    </row>
    <row r="51" customFormat="false" ht="15" hidden="false" customHeight="false" outlineLevel="0" collapsed="false">
      <c r="A51" s="0" t="s">
        <v>307</v>
      </c>
      <c r="B51" s="16" t="n">
        <v>46139</v>
      </c>
      <c r="C51" s="17" t="s">
        <v>159</v>
      </c>
      <c r="D51" s="17" t="s">
        <v>84</v>
      </c>
      <c r="E51" s="0" t="n">
        <v>2</v>
      </c>
      <c r="F51" s="4" t="n">
        <v>28</v>
      </c>
      <c r="G51" s="17" t="s">
        <v>20</v>
      </c>
      <c r="H51" s="17" t="s">
        <v>9</v>
      </c>
      <c r="I51" s="4" t="n">
        <f aca="false">E51*F51</f>
        <v>56</v>
      </c>
      <c r="J51" s="0" t="str">
        <f aca="false">TEXT(B51,"yyyy-mm")</f>
        <v>2026-04</v>
      </c>
    </row>
    <row r="52" customFormat="false" ht="15" hidden="false" customHeight="false" outlineLevel="0" collapsed="false">
      <c r="A52" s="0" t="s">
        <v>658</v>
      </c>
      <c r="B52" s="16" t="n">
        <v>46139</v>
      </c>
      <c r="C52" s="17" t="s">
        <v>253</v>
      </c>
      <c r="D52" s="17" t="s">
        <v>338</v>
      </c>
      <c r="E52" s="0" t="n">
        <v>2</v>
      </c>
      <c r="F52" s="4" t="n">
        <v>16.5</v>
      </c>
      <c r="G52" s="17" t="s">
        <v>18</v>
      </c>
      <c r="H52" s="17" t="s">
        <v>12</v>
      </c>
      <c r="I52" s="4" t="n">
        <f aca="false">E52*F52</f>
        <v>33</v>
      </c>
      <c r="J52" s="0" t="str">
        <f aca="false">TEXT(B52,"yyyy-mm")</f>
        <v>2026-04</v>
      </c>
    </row>
    <row r="53" customFormat="false" ht="15" hidden="false" customHeight="false" outlineLevel="0" collapsed="false">
      <c r="A53" s="0" t="s">
        <v>474</v>
      </c>
      <c r="B53" s="16" t="n">
        <v>46140</v>
      </c>
      <c r="C53" s="17" t="s">
        <v>256</v>
      </c>
      <c r="D53" s="17" t="s">
        <v>56</v>
      </c>
      <c r="E53" s="0" t="n">
        <v>4</v>
      </c>
      <c r="F53" s="4" t="n">
        <v>15.99</v>
      </c>
      <c r="G53" s="17" t="s">
        <v>19</v>
      </c>
      <c r="H53" s="17" t="s">
        <v>10</v>
      </c>
      <c r="I53" s="4" t="n">
        <f aca="false">E53*F53</f>
        <v>63.96</v>
      </c>
      <c r="J53" s="0" t="str">
        <f aca="false">TEXT(B53,"yyyy-mm")</f>
        <v>2026-04</v>
      </c>
    </row>
    <row r="54" customFormat="false" ht="15" hidden="false" customHeight="false" outlineLevel="0" collapsed="false">
      <c r="A54" s="0" t="s">
        <v>720</v>
      </c>
      <c r="B54" s="16" t="n">
        <v>46140</v>
      </c>
      <c r="C54" s="17" t="s">
        <v>150</v>
      </c>
      <c r="D54" s="17" t="s">
        <v>204</v>
      </c>
      <c r="E54" s="0" t="n">
        <v>4</v>
      </c>
      <c r="F54" s="4" t="n">
        <v>39</v>
      </c>
      <c r="G54" s="17" t="s">
        <v>17</v>
      </c>
      <c r="H54" s="17" t="s">
        <v>9</v>
      </c>
      <c r="I54" s="4" t="n">
        <f aca="false">E54*F54</f>
        <v>156</v>
      </c>
      <c r="J54" s="0" t="str">
        <f aca="false">TEXT(B54,"yyyy-mm")</f>
        <v>2026-04</v>
      </c>
    </row>
    <row r="55" customFormat="false" ht="15" hidden="false" customHeight="false" outlineLevel="0" collapsed="false">
      <c r="A55" s="0" t="s">
        <v>804</v>
      </c>
      <c r="B55" s="16" t="n">
        <v>46140</v>
      </c>
      <c r="C55" s="17" t="s">
        <v>106</v>
      </c>
      <c r="D55" s="17" t="s">
        <v>84</v>
      </c>
      <c r="E55" s="0" t="n">
        <v>3</v>
      </c>
      <c r="F55" s="4" t="n">
        <v>28</v>
      </c>
      <c r="G55" s="17" t="s">
        <v>18</v>
      </c>
      <c r="H55" s="17" t="s">
        <v>9</v>
      </c>
      <c r="I55" s="4" t="n">
        <f aca="false">E55*F55</f>
        <v>84</v>
      </c>
      <c r="J55" s="0" t="str">
        <f aca="false">TEXT(B55,"yyyy-mm")</f>
        <v>2026-04</v>
      </c>
    </row>
    <row r="56" customFormat="false" ht="15" hidden="false" customHeight="false" outlineLevel="0" collapsed="false">
      <c r="A56" s="0" t="s">
        <v>837</v>
      </c>
      <c r="B56" s="16" t="n">
        <v>46141</v>
      </c>
      <c r="C56" s="17" t="s">
        <v>65</v>
      </c>
      <c r="D56" s="17" t="s">
        <v>204</v>
      </c>
      <c r="E56" s="0" t="n">
        <v>1</v>
      </c>
      <c r="F56" s="4" t="n">
        <v>39</v>
      </c>
      <c r="G56" s="17" t="s">
        <v>19</v>
      </c>
      <c r="H56" s="17" t="s">
        <v>9</v>
      </c>
      <c r="I56" s="4" t="n">
        <f aca="false">E56*F56</f>
        <v>39</v>
      </c>
      <c r="J56" s="0" t="str">
        <f aca="false">TEXT(B56,"yyyy-mm")</f>
        <v>2026-04</v>
      </c>
    </row>
    <row r="57" customFormat="false" ht="15" hidden="false" customHeight="false" outlineLevel="0" collapsed="false">
      <c r="A57" s="0" t="s">
        <v>199</v>
      </c>
      <c r="B57" s="16" t="n">
        <v>46142</v>
      </c>
      <c r="C57" s="17" t="s">
        <v>174</v>
      </c>
      <c r="D57" s="17" t="s">
        <v>213</v>
      </c>
      <c r="E57" s="0" t="n">
        <v>4</v>
      </c>
      <c r="F57" s="4" t="n">
        <v>24.99</v>
      </c>
      <c r="G57" s="17" t="s">
        <v>17</v>
      </c>
      <c r="H57" s="17" t="s">
        <v>10</v>
      </c>
      <c r="I57" s="4" t="n">
        <f aca="false">E57*F57</f>
        <v>99.96</v>
      </c>
      <c r="J57" s="0" t="str">
        <f aca="false">TEXT(B57,"yyyy-mm")</f>
        <v>2026-04</v>
      </c>
    </row>
    <row r="58" customFormat="false" ht="15" hidden="false" customHeight="false" outlineLevel="0" collapsed="false">
      <c r="A58" s="0" t="s">
        <v>575</v>
      </c>
      <c r="B58" s="16" t="n">
        <v>46142</v>
      </c>
      <c r="C58" s="17" t="s">
        <v>577</v>
      </c>
      <c r="D58" s="17" t="s">
        <v>84</v>
      </c>
      <c r="E58" s="0" t="n">
        <v>2</v>
      </c>
      <c r="F58" s="4" t="n">
        <v>28</v>
      </c>
      <c r="G58" s="17" t="s">
        <v>19</v>
      </c>
      <c r="H58" s="17" t="s">
        <v>9</v>
      </c>
      <c r="I58" s="4" t="n">
        <f aca="false">E58*F58</f>
        <v>56</v>
      </c>
      <c r="J58" s="0" t="str">
        <f aca="false">TEXT(B58,"yyyy-mm")</f>
        <v>2026-04</v>
      </c>
    </row>
    <row r="59" customFormat="false" ht="15" hidden="false" customHeight="false" outlineLevel="0" collapsed="false">
      <c r="A59" s="0" t="s">
        <v>121</v>
      </c>
      <c r="B59" s="16" t="n">
        <v>46143</v>
      </c>
      <c r="C59" s="17" t="s">
        <v>123</v>
      </c>
      <c r="D59" s="17" t="s">
        <v>259</v>
      </c>
      <c r="E59" s="0" t="n">
        <v>1</v>
      </c>
      <c r="F59" s="4" t="n">
        <v>11</v>
      </c>
      <c r="G59" s="17" t="s">
        <v>20</v>
      </c>
      <c r="H59" s="17" t="s">
        <v>11</v>
      </c>
      <c r="I59" s="4" t="n">
        <f aca="false">E59*F59</f>
        <v>11</v>
      </c>
      <c r="J59" s="0" t="str">
        <f aca="false">TEXT(B59,"yyyy-mm")</f>
        <v>2026-05</v>
      </c>
    </row>
    <row r="60" customFormat="false" ht="15" hidden="false" customHeight="false" outlineLevel="0" collapsed="false">
      <c r="A60" s="0" t="s">
        <v>581</v>
      </c>
      <c r="B60" s="16" t="n">
        <v>46144</v>
      </c>
      <c r="C60" s="17" t="s">
        <v>382</v>
      </c>
      <c r="D60" s="17" t="s">
        <v>234</v>
      </c>
      <c r="E60" s="0" t="n">
        <v>4</v>
      </c>
      <c r="F60" s="4" t="n">
        <v>59.99</v>
      </c>
      <c r="G60" s="17" t="s">
        <v>18</v>
      </c>
      <c r="H60" s="17" t="s">
        <v>8</v>
      </c>
      <c r="I60" s="4" t="n">
        <f aca="false">E60*F60</f>
        <v>239.96</v>
      </c>
      <c r="J60" s="0" t="str">
        <f aca="false">TEXT(B60,"yyyy-mm")</f>
        <v>2026-05</v>
      </c>
    </row>
    <row r="61" customFormat="false" ht="15" hidden="false" customHeight="false" outlineLevel="0" collapsed="false">
      <c r="A61" s="0" t="s">
        <v>590</v>
      </c>
      <c r="B61" s="16" t="n">
        <v>46144</v>
      </c>
      <c r="C61" s="17" t="s">
        <v>250</v>
      </c>
      <c r="D61" s="17" t="s">
        <v>88</v>
      </c>
      <c r="E61" s="0" t="n">
        <v>2</v>
      </c>
      <c r="F61" s="4" t="n">
        <v>44</v>
      </c>
      <c r="G61" s="17" t="s">
        <v>20</v>
      </c>
      <c r="H61" s="17" t="s">
        <v>11</v>
      </c>
      <c r="I61" s="4" t="n">
        <f aca="false">E61*F61</f>
        <v>88</v>
      </c>
      <c r="J61" s="0" t="str">
        <f aca="false">TEXT(B61,"yyyy-mm")</f>
        <v>2026-05</v>
      </c>
    </row>
    <row r="62" customFormat="false" ht="15" hidden="false" customHeight="false" outlineLevel="0" collapsed="false">
      <c r="A62" s="0" t="s">
        <v>771</v>
      </c>
      <c r="B62" s="16" t="n">
        <v>46145</v>
      </c>
      <c r="C62" s="17" t="s">
        <v>295</v>
      </c>
      <c r="D62" s="17" t="s">
        <v>338</v>
      </c>
      <c r="E62" s="0" t="n">
        <v>2</v>
      </c>
      <c r="F62" s="4" t="n">
        <v>16.5</v>
      </c>
      <c r="G62" s="17" t="s">
        <v>18</v>
      </c>
      <c r="H62" s="17" t="s">
        <v>12</v>
      </c>
      <c r="I62" s="4" t="n">
        <f aca="false">E62*F62</f>
        <v>33</v>
      </c>
      <c r="J62" s="0" t="str">
        <f aca="false">TEXT(B62,"yyyy-mm")</f>
        <v>2026-05</v>
      </c>
    </row>
    <row r="63" customFormat="false" ht="15" hidden="false" customHeight="false" outlineLevel="0" collapsed="false">
      <c r="A63" s="0" t="s">
        <v>148</v>
      </c>
      <c r="B63" s="16" t="n">
        <v>46146</v>
      </c>
      <c r="C63" s="17" t="s">
        <v>150</v>
      </c>
      <c r="D63" s="17" t="s">
        <v>84</v>
      </c>
      <c r="E63" s="0" t="n">
        <v>1</v>
      </c>
      <c r="F63" s="4" t="n">
        <v>28</v>
      </c>
      <c r="G63" s="17" t="s">
        <v>19</v>
      </c>
      <c r="H63" s="17" t="s">
        <v>9</v>
      </c>
      <c r="I63" s="4" t="n">
        <f aca="false">E63*F63</f>
        <v>28</v>
      </c>
      <c r="J63" s="0" t="str">
        <f aca="false">TEXT(B63,"yyyy-mm")</f>
        <v>2026-05</v>
      </c>
    </row>
    <row r="64" customFormat="false" ht="15" hidden="false" customHeight="false" outlineLevel="0" collapsed="false">
      <c r="A64" s="0" t="s">
        <v>263</v>
      </c>
      <c r="B64" s="16" t="n">
        <v>46146</v>
      </c>
      <c r="C64" s="17" t="s">
        <v>70</v>
      </c>
      <c r="D64" s="17" t="s">
        <v>93</v>
      </c>
      <c r="E64" s="0" t="n">
        <v>2</v>
      </c>
      <c r="F64" s="4" t="n">
        <v>17</v>
      </c>
      <c r="G64" s="17" t="s">
        <v>17</v>
      </c>
      <c r="H64" s="17" t="s">
        <v>10</v>
      </c>
      <c r="I64" s="4" t="n">
        <f aca="false">E64*F64</f>
        <v>34</v>
      </c>
      <c r="J64" s="0" t="str">
        <f aca="false">TEXT(B64,"yyyy-mm")</f>
        <v>2026-05</v>
      </c>
    </row>
    <row r="65" customFormat="false" ht="15" hidden="false" customHeight="false" outlineLevel="0" collapsed="false">
      <c r="A65" s="0" t="s">
        <v>318</v>
      </c>
      <c r="B65" s="16" t="n">
        <v>46146</v>
      </c>
      <c r="C65" s="17" t="s">
        <v>301</v>
      </c>
      <c r="D65" s="17" t="s">
        <v>229</v>
      </c>
      <c r="E65" s="0" t="n">
        <v>3</v>
      </c>
      <c r="F65" s="4" t="n">
        <v>31.5</v>
      </c>
      <c r="G65" s="17" t="s">
        <v>19</v>
      </c>
      <c r="H65" s="17" t="s">
        <v>9</v>
      </c>
      <c r="I65" s="4" t="n">
        <f aca="false">E65*F65</f>
        <v>94.5</v>
      </c>
      <c r="J65" s="0" t="str">
        <f aca="false">TEXT(B65,"yyyy-mm")</f>
        <v>2026-05</v>
      </c>
    </row>
    <row r="66" customFormat="false" ht="15" hidden="false" customHeight="false" outlineLevel="0" collapsed="false">
      <c r="A66" s="0" t="s">
        <v>643</v>
      </c>
      <c r="B66" s="16" t="n">
        <v>46146</v>
      </c>
      <c r="C66" s="17" t="s">
        <v>256</v>
      </c>
      <c r="D66" s="17" t="s">
        <v>93</v>
      </c>
      <c r="E66" s="0" t="n">
        <v>3</v>
      </c>
      <c r="F66" s="4" t="n">
        <v>17</v>
      </c>
      <c r="G66" s="17" t="s">
        <v>17</v>
      </c>
      <c r="H66" s="17" t="s">
        <v>10</v>
      </c>
      <c r="I66" s="4" t="n">
        <f aca="false">E66*F66</f>
        <v>51</v>
      </c>
      <c r="J66" s="0" t="str">
        <f aca="false">TEXT(B66,"yyyy-mm")</f>
        <v>2026-05</v>
      </c>
    </row>
    <row r="67" customFormat="false" ht="15" hidden="false" customHeight="false" outlineLevel="0" collapsed="false">
      <c r="A67" s="0" t="s">
        <v>535</v>
      </c>
      <c r="B67" s="16" t="n">
        <v>46147</v>
      </c>
      <c r="C67" s="17" t="s">
        <v>133</v>
      </c>
      <c r="D67" s="17" t="s">
        <v>177</v>
      </c>
      <c r="E67" s="0" t="n">
        <v>4</v>
      </c>
      <c r="F67" s="4" t="n">
        <v>13</v>
      </c>
      <c r="G67" s="17" t="s">
        <v>18</v>
      </c>
      <c r="H67" s="17" t="s">
        <v>12</v>
      </c>
      <c r="I67" s="4" t="n">
        <f aca="false">E67*F67</f>
        <v>52</v>
      </c>
      <c r="J67" s="0" t="str">
        <f aca="false">TEXT(B67,"yyyy-mm")</f>
        <v>2026-05</v>
      </c>
    </row>
    <row r="68" customFormat="false" ht="15" hidden="false" customHeight="false" outlineLevel="0" collapsed="false">
      <c r="A68" s="0" t="s">
        <v>779</v>
      </c>
      <c r="B68" s="16" t="n">
        <v>46148</v>
      </c>
      <c r="C68" s="17" t="s">
        <v>518</v>
      </c>
      <c r="D68" s="17" t="s">
        <v>36</v>
      </c>
      <c r="E68" s="0" t="n">
        <v>3</v>
      </c>
      <c r="F68" s="4" t="n">
        <v>13.5</v>
      </c>
      <c r="G68" s="17" t="s">
        <v>20</v>
      </c>
      <c r="H68" s="17" t="s">
        <v>11</v>
      </c>
      <c r="I68" s="4" t="n">
        <f aca="false">E68*F68</f>
        <v>40.5</v>
      </c>
      <c r="J68" s="0" t="str">
        <f aca="false">TEXT(B68,"yyyy-mm")</f>
        <v>2026-05</v>
      </c>
    </row>
    <row r="69" customFormat="false" ht="15" hidden="false" customHeight="false" outlineLevel="0" collapsed="false">
      <c r="A69" s="0" t="s">
        <v>208</v>
      </c>
      <c r="B69" s="16" t="n">
        <v>46149</v>
      </c>
      <c r="C69" s="17" t="s">
        <v>118</v>
      </c>
      <c r="D69" s="17" t="s">
        <v>213</v>
      </c>
      <c r="E69" s="0" t="n">
        <v>2</v>
      </c>
      <c r="F69" s="4" t="n">
        <v>24.99</v>
      </c>
      <c r="G69" s="17" t="s">
        <v>18</v>
      </c>
      <c r="H69" s="17" t="s">
        <v>10</v>
      </c>
      <c r="I69" s="4" t="n">
        <f aca="false">E69*F69</f>
        <v>49.98</v>
      </c>
      <c r="J69" s="0" t="str">
        <f aca="false">TEXT(B69,"yyyy-mm")</f>
        <v>2026-05</v>
      </c>
    </row>
    <row r="70" customFormat="false" ht="15" hidden="false" customHeight="false" outlineLevel="0" collapsed="false">
      <c r="A70" s="0" t="s">
        <v>360</v>
      </c>
      <c r="B70" s="16" t="n">
        <v>46150</v>
      </c>
      <c r="C70" s="17" t="s">
        <v>362</v>
      </c>
      <c r="D70" s="17" t="s">
        <v>177</v>
      </c>
      <c r="E70" s="0" t="n">
        <v>4</v>
      </c>
      <c r="F70" s="4" t="n">
        <v>13</v>
      </c>
      <c r="G70" s="17" t="s">
        <v>18</v>
      </c>
      <c r="H70" s="17" t="s">
        <v>12</v>
      </c>
      <c r="I70" s="4" t="n">
        <f aca="false">E70*F70</f>
        <v>52</v>
      </c>
      <c r="J70" s="0" t="str">
        <f aca="false">TEXT(B70,"yyyy-mm")</f>
        <v>2026-05</v>
      </c>
    </row>
    <row r="71" customFormat="false" ht="15" hidden="false" customHeight="false" outlineLevel="0" collapsed="false">
      <c r="A71" s="0" t="s">
        <v>507</v>
      </c>
      <c r="B71" s="16" t="n">
        <v>46152</v>
      </c>
      <c r="C71" s="17" t="s">
        <v>509</v>
      </c>
      <c r="D71" s="17" t="s">
        <v>129</v>
      </c>
      <c r="E71" s="0" t="n">
        <v>1</v>
      </c>
      <c r="F71" s="4" t="n">
        <v>11.99</v>
      </c>
      <c r="G71" s="17" t="s">
        <v>19</v>
      </c>
      <c r="H71" s="17" t="s">
        <v>13</v>
      </c>
      <c r="I71" s="4" t="n">
        <f aca="false">E71*F71</f>
        <v>11.99</v>
      </c>
      <c r="J71" s="0" t="str">
        <f aca="false">TEXT(B71,"yyyy-mm")</f>
        <v>2026-05</v>
      </c>
    </row>
    <row r="72" customFormat="false" ht="15" hidden="false" customHeight="false" outlineLevel="0" collapsed="false">
      <c r="A72" s="0" t="s">
        <v>48</v>
      </c>
      <c r="B72" s="16" t="n">
        <v>46154</v>
      </c>
      <c r="C72" s="17" t="s">
        <v>50</v>
      </c>
      <c r="D72" s="17" t="s">
        <v>377</v>
      </c>
      <c r="E72" s="0" t="n">
        <v>4</v>
      </c>
      <c r="F72" s="4" t="n">
        <v>22</v>
      </c>
      <c r="G72" s="17" t="s">
        <v>18</v>
      </c>
      <c r="H72" s="17" t="s">
        <v>9</v>
      </c>
      <c r="I72" s="4" t="n">
        <f aca="false">E72*F72</f>
        <v>88</v>
      </c>
      <c r="J72" s="0" t="str">
        <f aca="false">TEXT(B72,"yyyy-mm")</f>
        <v>2026-05</v>
      </c>
    </row>
    <row r="73" customFormat="false" ht="15" hidden="false" customHeight="false" outlineLevel="0" collapsed="false">
      <c r="A73" s="0" t="s">
        <v>483</v>
      </c>
      <c r="B73" s="16" t="n">
        <v>46154</v>
      </c>
      <c r="C73" s="17" t="s">
        <v>106</v>
      </c>
      <c r="D73" s="17" t="s">
        <v>299</v>
      </c>
      <c r="E73" s="0" t="n">
        <v>3</v>
      </c>
      <c r="F73" s="4" t="n">
        <v>62</v>
      </c>
      <c r="G73" s="17" t="s">
        <v>20</v>
      </c>
      <c r="H73" s="17" t="s">
        <v>11</v>
      </c>
      <c r="I73" s="4" t="n">
        <f aca="false">E73*F73</f>
        <v>186</v>
      </c>
      <c r="J73" s="0" t="str">
        <f aca="false">TEXT(B73,"yyyy-mm")</f>
        <v>2026-05</v>
      </c>
    </row>
    <row r="74" customFormat="false" ht="15" hidden="false" customHeight="false" outlineLevel="0" collapsed="false">
      <c r="A74" s="0" t="s">
        <v>670</v>
      </c>
      <c r="B74" s="16" t="n">
        <v>46154</v>
      </c>
      <c r="C74" s="17" t="s">
        <v>159</v>
      </c>
      <c r="D74" s="17" t="s">
        <v>56</v>
      </c>
      <c r="E74" s="0" t="n">
        <v>1</v>
      </c>
      <c r="F74" s="4" t="n">
        <v>15.99</v>
      </c>
      <c r="G74" s="17" t="s">
        <v>18</v>
      </c>
      <c r="H74" s="17" t="s">
        <v>10</v>
      </c>
      <c r="I74" s="4" t="n">
        <f aca="false">E74*F74</f>
        <v>15.99</v>
      </c>
      <c r="J74" s="0" t="str">
        <f aca="false">TEXT(B74,"yyyy-mm")</f>
        <v>2026-05</v>
      </c>
    </row>
    <row r="75" customFormat="false" ht="15" hidden="false" customHeight="false" outlineLevel="0" collapsed="false">
      <c r="A75" s="0" t="s">
        <v>126</v>
      </c>
      <c r="B75" s="16" t="n">
        <v>46155</v>
      </c>
      <c r="C75" s="17" t="s">
        <v>128</v>
      </c>
      <c r="D75" s="17" t="s">
        <v>129</v>
      </c>
      <c r="E75" s="0" t="n">
        <v>3</v>
      </c>
      <c r="F75" s="4" t="n">
        <v>11.99</v>
      </c>
      <c r="G75" s="17" t="s">
        <v>17</v>
      </c>
      <c r="H75" s="17" t="s">
        <v>13</v>
      </c>
      <c r="I75" s="4" t="n">
        <f aca="false">E75*F75</f>
        <v>35.97</v>
      </c>
      <c r="J75" s="0" t="str">
        <f aca="false">TEXT(B75,"yyyy-mm")</f>
        <v>2026-05</v>
      </c>
    </row>
    <row r="76" customFormat="false" ht="15" hidden="false" customHeight="false" outlineLevel="0" collapsed="false">
      <c r="A76" s="0" t="s">
        <v>300</v>
      </c>
      <c r="B76" s="16" t="n">
        <v>46155</v>
      </c>
      <c r="C76" s="17" t="s">
        <v>301</v>
      </c>
      <c r="D76" s="17" t="s">
        <v>302</v>
      </c>
      <c r="E76" s="0" t="n">
        <v>3</v>
      </c>
      <c r="F76" s="4" t="n">
        <v>42</v>
      </c>
      <c r="G76" s="17" t="s">
        <v>17</v>
      </c>
      <c r="H76" s="17" t="s">
        <v>8</v>
      </c>
      <c r="I76" s="4" t="n">
        <f aca="false">E76*F76</f>
        <v>126</v>
      </c>
      <c r="J76" s="0" t="str">
        <f aca="false">TEXT(B76,"yyyy-mm")</f>
        <v>2026-05</v>
      </c>
    </row>
    <row r="77" customFormat="false" ht="15" hidden="false" customHeight="false" outlineLevel="0" collapsed="false">
      <c r="A77" s="0" t="s">
        <v>460</v>
      </c>
      <c r="B77" s="16" t="n">
        <v>46155</v>
      </c>
      <c r="C77" s="17" t="s">
        <v>133</v>
      </c>
      <c r="D77" s="17" t="s">
        <v>239</v>
      </c>
      <c r="E77" s="0" t="n">
        <v>3</v>
      </c>
      <c r="F77" s="4" t="n">
        <v>14.99</v>
      </c>
      <c r="G77" s="17" t="s">
        <v>17</v>
      </c>
      <c r="H77" s="17" t="s">
        <v>11</v>
      </c>
      <c r="I77" s="4" t="n">
        <f aca="false">E77*F77</f>
        <v>44.97</v>
      </c>
      <c r="J77" s="0" t="str">
        <f aca="false">TEXT(B77,"yyyy-mm")</f>
        <v>2026-05</v>
      </c>
    </row>
    <row r="78" customFormat="false" ht="15" hidden="false" customHeight="false" outlineLevel="0" collapsed="false">
      <c r="A78" s="0" t="s">
        <v>378</v>
      </c>
      <c r="B78" s="16" t="n">
        <v>46156</v>
      </c>
      <c r="C78" s="17" t="s">
        <v>228</v>
      </c>
      <c r="D78" s="17" t="s">
        <v>213</v>
      </c>
      <c r="E78" s="0" t="n">
        <v>3</v>
      </c>
      <c r="F78" s="4" t="n">
        <v>24.99</v>
      </c>
      <c r="G78" s="17" t="s">
        <v>18</v>
      </c>
      <c r="H78" s="17" t="s">
        <v>10</v>
      </c>
      <c r="I78" s="4" t="n">
        <f aca="false">E78*F78</f>
        <v>74.97</v>
      </c>
      <c r="J78" s="0" t="str">
        <f aca="false">TEXT(B78,"yyyy-mm")</f>
        <v>2026-05</v>
      </c>
    </row>
    <row r="79" customFormat="false" ht="15" hidden="false" customHeight="false" outlineLevel="0" collapsed="false">
      <c r="A79" s="0" t="s">
        <v>479</v>
      </c>
      <c r="B79" s="16" t="n">
        <v>46156</v>
      </c>
      <c r="C79" s="17" t="s">
        <v>150</v>
      </c>
      <c r="D79" s="17" t="s">
        <v>397</v>
      </c>
      <c r="E79" s="0" t="n">
        <v>4</v>
      </c>
      <c r="F79" s="4" t="n">
        <v>12.5</v>
      </c>
      <c r="G79" s="17" t="s">
        <v>17</v>
      </c>
      <c r="H79" s="17" t="s">
        <v>9</v>
      </c>
      <c r="I79" s="4" t="n">
        <f aca="false">E79*F79</f>
        <v>50</v>
      </c>
      <c r="J79" s="0" t="str">
        <f aca="false">TEXT(B79,"yyyy-mm")</f>
        <v>2026-05</v>
      </c>
    </row>
    <row r="80" customFormat="false" ht="15" hidden="false" customHeight="false" outlineLevel="0" collapsed="false">
      <c r="A80" s="0" t="s">
        <v>544</v>
      </c>
      <c r="B80" s="16" t="n">
        <v>46156</v>
      </c>
      <c r="C80" s="17" t="s">
        <v>295</v>
      </c>
      <c r="D80" s="17" t="s">
        <v>282</v>
      </c>
      <c r="E80" s="0" t="n">
        <v>1</v>
      </c>
      <c r="F80" s="4" t="n">
        <v>34</v>
      </c>
      <c r="G80" s="17" t="s">
        <v>18</v>
      </c>
      <c r="H80" s="17" t="s">
        <v>8</v>
      </c>
      <c r="I80" s="4" t="n">
        <f aca="false">E80*F80</f>
        <v>34</v>
      </c>
      <c r="J80" s="0" t="str">
        <f aca="false">TEXT(B80,"yyyy-mm")</f>
        <v>2026-05</v>
      </c>
    </row>
    <row r="81" customFormat="false" ht="15" hidden="false" customHeight="false" outlineLevel="0" collapsed="false">
      <c r="A81" s="0" t="s">
        <v>326</v>
      </c>
      <c r="B81" s="16" t="n">
        <v>46157</v>
      </c>
      <c r="C81" s="17" t="s">
        <v>114</v>
      </c>
      <c r="D81" s="17" t="s">
        <v>234</v>
      </c>
      <c r="E81" s="0" t="n">
        <v>3</v>
      </c>
      <c r="F81" s="4" t="n">
        <v>59.99</v>
      </c>
      <c r="G81" s="17" t="s">
        <v>18</v>
      </c>
      <c r="H81" s="17" t="s">
        <v>8</v>
      </c>
      <c r="I81" s="4" t="n">
        <f aca="false">E81*F81</f>
        <v>179.97</v>
      </c>
      <c r="J81" s="0" t="str">
        <f aca="false">TEXT(B81,"yyyy-mm")</f>
        <v>2026-05</v>
      </c>
    </row>
    <row r="82" customFormat="false" ht="15" hidden="false" customHeight="false" outlineLevel="0" collapsed="false">
      <c r="A82" s="0" t="s">
        <v>733</v>
      </c>
      <c r="B82" s="16" t="n">
        <v>46159</v>
      </c>
      <c r="C82" s="17" t="s">
        <v>243</v>
      </c>
      <c r="D82" s="17" t="s">
        <v>397</v>
      </c>
      <c r="E82" s="0" t="n">
        <v>3</v>
      </c>
      <c r="F82" s="4" t="n">
        <v>12.5</v>
      </c>
      <c r="G82" s="17" t="s">
        <v>18</v>
      </c>
      <c r="H82" s="17" t="s">
        <v>9</v>
      </c>
      <c r="I82" s="4" t="n">
        <f aca="false">E82*F82</f>
        <v>37.5</v>
      </c>
      <c r="J82" s="0" t="str">
        <f aca="false">TEXT(B82,"yyyy-mm")</f>
        <v>2026-05</v>
      </c>
    </row>
    <row r="83" customFormat="false" ht="15" hidden="false" customHeight="false" outlineLevel="0" collapsed="false">
      <c r="A83" s="0" t="s">
        <v>131</v>
      </c>
      <c r="B83" s="16" t="n">
        <v>46160</v>
      </c>
      <c r="C83" s="17" t="s">
        <v>133</v>
      </c>
      <c r="D83" s="17" t="s">
        <v>80</v>
      </c>
      <c r="E83" s="0" t="n">
        <v>4</v>
      </c>
      <c r="F83" s="4" t="n">
        <v>27.99</v>
      </c>
      <c r="G83" s="17" t="s">
        <v>20</v>
      </c>
      <c r="H83" s="17" t="s">
        <v>8</v>
      </c>
      <c r="I83" s="4" t="n">
        <f aca="false">E83*F83</f>
        <v>111.96</v>
      </c>
      <c r="J83" s="0" t="str">
        <f aca="false">TEXT(B83,"yyyy-mm")</f>
        <v>2026-05</v>
      </c>
    </row>
    <row r="84" customFormat="false" ht="15" hidden="false" customHeight="false" outlineLevel="0" collapsed="false">
      <c r="A84" s="0" t="s">
        <v>203</v>
      </c>
      <c r="B84" s="16" t="n">
        <v>46160</v>
      </c>
      <c r="C84" s="17" t="s">
        <v>137</v>
      </c>
      <c r="D84" s="17" t="s">
        <v>204</v>
      </c>
      <c r="E84" s="0" t="n">
        <v>4</v>
      </c>
      <c r="F84" s="4" t="n">
        <v>39</v>
      </c>
      <c r="G84" s="17" t="s">
        <v>20</v>
      </c>
      <c r="H84" s="17" t="s">
        <v>9</v>
      </c>
      <c r="I84" s="4" t="n">
        <f aca="false">E84*F84</f>
        <v>156</v>
      </c>
      <c r="J84" s="0" t="str">
        <f aca="false">TEXT(B84,"yyyy-mm")</f>
        <v>2026-05</v>
      </c>
    </row>
    <row r="85" customFormat="false" ht="15" hidden="false" customHeight="false" outlineLevel="0" collapsed="false">
      <c r="A85" s="0" t="s">
        <v>607</v>
      </c>
      <c r="B85" s="16" t="n">
        <v>46160</v>
      </c>
      <c r="C85" s="17" t="s">
        <v>50</v>
      </c>
      <c r="D85" s="17" t="s">
        <v>56</v>
      </c>
      <c r="E85" s="0" t="n">
        <v>2</v>
      </c>
      <c r="F85" s="4" t="n">
        <v>15.99</v>
      </c>
      <c r="G85" s="17" t="s">
        <v>18</v>
      </c>
      <c r="H85" s="17" t="s">
        <v>10</v>
      </c>
      <c r="I85" s="4" t="n">
        <f aca="false">E85*F85</f>
        <v>31.98</v>
      </c>
      <c r="J85" s="0" t="str">
        <f aca="false">TEXT(B85,"yyyy-mm")</f>
        <v>2026-05</v>
      </c>
    </row>
    <row r="86" customFormat="false" ht="15" hidden="false" customHeight="false" outlineLevel="0" collapsed="false">
      <c r="A86" s="0" t="s">
        <v>619</v>
      </c>
      <c r="B86" s="16" t="n">
        <v>46161</v>
      </c>
      <c r="C86" s="17" t="s">
        <v>114</v>
      </c>
      <c r="D86" s="17" t="s">
        <v>198</v>
      </c>
      <c r="E86" s="0" t="n">
        <v>3</v>
      </c>
      <c r="F86" s="4" t="n">
        <v>29</v>
      </c>
      <c r="G86" s="17" t="s">
        <v>18</v>
      </c>
      <c r="H86" s="17" t="s">
        <v>11</v>
      </c>
      <c r="I86" s="4" t="n">
        <f aca="false">E86*F86</f>
        <v>87</v>
      </c>
      <c r="J86" s="0" t="str">
        <f aca="false">TEXT(B86,"yyyy-mm")</f>
        <v>2026-05</v>
      </c>
    </row>
    <row r="87" customFormat="false" ht="15" hidden="false" customHeight="false" outlineLevel="0" collapsed="false">
      <c r="A87" s="0" t="s">
        <v>736</v>
      </c>
      <c r="B87" s="16" t="n">
        <v>46161</v>
      </c>
      <c r="C87" s="17" t="s">
        <v>518</v>
      </c>
      <c r="D87" s="17" t="s">
        <v>80</v>
      </c>
      <c r="E87" s="0" t="n">
        <v>4</v>
      </c>
      <c r="F87" s="4" t="n">
        <v>27.99</v>
      </c>
      <c r="G87" s="17" t="s">
        <v>20</v>
      </c>
      <c r="H87" s="17" t="s">
        <v>8</v>
      </c>
      <c r="I87" s="4" t="n">
        <f aca="false">E87*F87</f>
        <v>111.96</v>
      </c>
      <c r="J87" s="0" t="str">
        <f aca="false">TEXT(B87,"yyyy-mm")</f>
        <v>2026-05</v>
      </c>
    </row>
    <row r="88" customFormat="false" ht="15" hidden="false" customHeight="false" outlineLevel="0" collapsed="false">
      <c r="A88" s="0" t="s">
        <v>787</v>
      </c>
      <c r="B88" s="16" t="n">
        <v>46161</v>
      </c>
      <c r="C88" s="17" t="s">
        <v>60</v>
      </c>
      <c r="D88" s="17" t="s">
        <v>110</v>
      </c>
      <c r="E88" s="0" t="n">
        <v>4</v>
      </c>
      <c r="F88" s="4" t="n">
        <v>14</v>
      </c>
      <c r="G88" s="17" t="s">
        <v>19</v>
      </c>
      <c r="H88" s="17" t="s">
        <v>12</v>
      </c>
      <c r="I88" s="4" t="n">
        <f aca="false">E88*F88</f>
        <v>56</v>
      </c>
      <c r="J88" s="0" t="str">
        <f aca="false">TEXT(B88,"yyyy-mm")</f>
        <v>2026-05</v>
      </c>
    </row>
    <row r="89" customFormat="false" ht="15" hidden="false" customHeight="false" outlineLevel="0" collapsed="false">
      <c r="A89" s="0" t="s">
        <v>807</v>
      </c>
      <c r="B89" s="16" t="n">
        <v>46161</v>
      </c>
      <c r="C89" s="17" t="s">
        <v>492</v>
      </c>
      <c r="D89" s="17" t="s">
        <v>204</v>
      </c>
      <c r="E89" s="0" t="n">
        <v>2</v>
      </c>
      <c r="F89" s="4" t="n">
        <v>39</v>
      </c>
      <c r="G89" s="17" t="s">
        <v>18</v>
      </c>
      <c r="H89" s="17" t="s">
        <v>9</v>
      </c>
      <c r="I89" s="4" t="n">
        <f aca="false">E89*F89</f>
        <v>78</v>
      </c>
      <c r="J89" s="0" t="str">
        <f aca="false">TEXT(B89,"yyyy-mm")</f>
        <v>2026-05</v>
      </c>
    </row>
    <row r="90" customFormat="false" ht="15" hidden="false" customHeight="false" outlineLevel="0" collapsed="false">
      <c r="A90" s="0" t="s">
        <v>746</v>
      </c>
      <c r="B90" s="16" t="n">
        <v>46163</v>
      </c>
      <c r="C90" s="17" t="s">
        <v>243</v>
      </c>
      <c r="D90" s="17" t="s">
        <v>93</v>
      </c>
      <c r="E90" s="0" t="n">
        <v>1</v>
      </c>
      <c r="F90" s="4" t="n">
        <v>17</v>
      </c>
      <c r="G90" s="17" t="s">
        <v>19</v>
      </c>
      <c r="H90" s="17" t="s">
        <v>10</v>
      </c>
      <c r="I90" s="4" t="n">
        <f aca="false">E90*F90</f>
        <v>17</v>
      </c>
      <c r="J90" s="0" t="str">
        <f aca="false">TEXT(B90,"yyyy-mm")</f>
        <v>2026-05</v>
      </c>
    </row>
    <row r="91" customFormat="false" ht="15" hidden="false" customHeight="false" outlineLevel="0" collapsed="false">
      <c r="A91" s="0" t="s">
        <v>773</v>
      </c>
      <c r="B91" s="16" t="n">
        <v>46163</v>
      </c>
      <c r="C91" s="17" t="s">
        <v>106</v>
      </c>
      <c r="D91" s="17" t="s">
        <v>681</v>
      </c>
      <c r="E91" s="0" t="n">
        <v>4</v>
      </c>
      <c r="F91" s="4" t="n">
        <v>15</v>
      </c>
      <c r="G91" s="17" t="s">
        <v>20</v>
      </c>
      <c r="H91" s="17" t="s">
        <v>13</v>
      </c>
      <c r="I91" s="4" t="n">
        <f aca="false">E91*F91</f>
        <v>60</v>
      </c>
      <c r="J91" s="0" t="str">
        <f aca="false">TEXT(B91,"yyyy-mm")</f>
        <v>2026-05</v>
      </c>
    </row>
    <row r="92" customFormat="false" ht="15" hidden="false" customHeight="false" outlineLevel="0" collapsed="false">
      <c r="A92" s="0" t="s">
        <v>329</v>
      </c>
      <c r="B92" s="16" t="n">
        <v>46164</v>
      </c>
      <c r="C92" s="17" t="s">
        <v>331</v>
      </c>
      <c r="D92" s="17" t="s">
        <v>80</v>
      </c>
      <c r="E92" s="0" t="n">
        <v>1</v>
      </c>
      <c r="F92" s="4" t="n">
        <v>27.99</v>
      </c>
      <c r="G92" s="17" t="s">
        <v>17</v>
      </c>
      <c r="H92" s="17" t="s">
        <v>8</v>
      </c>
      <c r="I92" s="4" t="n">
        <f aca="false">E92*F92</f>
        <v>27.99</v>
      </c>
      <c r="J92" s="0" t="str">
        <f aca="false">TEXT(B92,"yyyy-mm")</f>
        <v>2026-05</v>
      </c>
    </row>
    <row r="93" customFormat="false" ht="15" hidden="false" customHeight="false" outlineLevel="0" collapsed="false">
      <c r="A93" s="0" t="s">
        <v>454</v>
      </c>
      <c r="B93" s="16" t="n">
        <v>46164</v>
      </c>
      <c r="C93" s="17" t="s">
        <v>79</v>
      </c>
      <c r="D93" s="17" t="s">
        <v>302</v>
      </c>
      <c r="E93" s="0" t="n">
        <v>2</v>
      </c>
      <c r="F93" s="4" t="n">
        <v>42</v>
      </c>
      <c r="G93" s="17" t="s">
        <v>17</v>
      </c>
      <c r="H93" s="17" t="s">
        <v>8</v>
      </c>
      <c r="I93" s="4" t="n">
        <f aca="false">E93*F93</f>
        <v>84</v>
      </c>
      <c r="J93" s="0" t="str">
        <f aca="false">TEXT(B93,"yyyy-mm")</f>
        <v>2026-05</v>
      </c>
    </row>
    <row r="94" customFormat="false" ht="15" hidden="false" customHeight="false" outlineLevel="0" collapsed="false">
      <c r="A94" s="0" t="s">
        <v>466</v>
      </c>
      <c r="B94" s="16" t="n">
        <v>46164</v>
      </c>
      <c r="C94" s="17" t="s">
        <v>228</v>
      </c>
      <c r="D94" s="17" t="s">
        <v>397</v>
      </c>
      <c r="E94" s="0" t="n">
        <v>1</v>
      </c>
      <c r="F94" s="4" t="n">
        <v>12.5</v>
      </c>
      <c r="G94" s="17" t="s">
        <v>17</v>
      </c>
      <c r="H94" s="17" t="s">
        <v>9</v>
      </c>
      <c r="I94" s="4" t="n">
        <f aca="false">E94*F94</f>
        <v>12.5</v>
      </c>
      <c r="J94" s="0" t="str">
        <f aca="false">TEXT(B94,"yyyy-mm")</f>
        <v>2026-05</v>
      </c>
    </row>
    <row r="95" customFormat="false" ht="15" hidden="false" customHeight="false" outlineLevel="0" collapsed="false">
      <c r="A95" s="0" t="s">
        <v>685</v>
      </c>
      <c r="B95" s="16" t="n">
        <v>46164</v>
      </c>
      <c r="C95" s="17" t="s">
        <v>150</v>
      </c>
      <c r="D95" s="17" t="s">
        <v>799</v>
      </c>
      <c r="E95" s="0" t="n">
        <v>3</v>
      </c>
      <c r="F95" s="4" t="n">
        <v>33</v>
      </c>
      <c r="G95" s="17" t="s">
        <v>19</v>
      </c>
      <c r="H95" s="17" t="s">
        <v>13</v>
      </c>
      <c r="I95" s="4" t="n">
        <f aca="false">E95*F95</f>
        <v>99</v>
      </c>
      <c r="J95" s="0" t="str">
        <f aca="false">TEXT(B95,"yyyy-mm")</f>
        <v>2026-05</v>
      </c>
    </row>
    <row r="96" customFormat="false" ht="15" hidden="false" customHeight="false" outlineLevel="0" collapsed="false">
      <c r="A96" s="0" t="s">
        <v>702</v>
      </c>
      <c r="B96" s="16" t="n">
        <v>46164</v>
      </c>
      <c r="C96" s="17" t="s">
        <v>169</v>
      </c>
      <c r="D96" s="17" t="s">
        <v>369</v>
      </c>
      <c r="E96" s="0" t="n">
        <v>2</v>
      </c>
      <c r="F96" s="4" t="n">
        <v>12</v>
      </c>
      <c r="G96" s="17" t="s">
        <v>20</v>
      </c>
      <c r="H96" s="17" t="s">
        <v>13</v>
      </c>
      <c r="I96" s="4" t="n">
        <f aca="false">E96*F96</f>
        <v>24</v>
      </c>
      <c r="J96" s="0" t="str">
        <f aca="false">TEXT(B96,"yyyy-mm")</f>
        <v>2026-05</v>
      </c>
    </row>
    <row r="97" customFormat="false" ht="15" hidden="false" customHeight="false" outlineLevel="0" collapsed="false">
      <c r="A97" s="0" t="s">
        <v>634</v>
      </c>
      <c r="B97" s="16" t="n">
        <v>46165</v>
      </c>
      <c r="C97" s="17" t="s">
        <v>123</v>
      </c>
      <c r="D97" s="17" t="s">
        <v>213</v>
      </c>
      <c r="E97" s="0" t="n">
        <v>2</v>
      </c>
      <c r="F97" s="4" t="n">
        <v>24.99</v>
      </c>
      <c r="G97" s="17" t="s">
        <v>20</v>
      </c>
      <c r="H97" s="17" t="s">
        <v>10</v>
      </c>
      <c r="I97" s="4" t="n">
        <f aca="false">E97*F97</f>
        <v>49.98</v>
      </c>
      <c r="J97" s="0" t="str">
        <f aca="false">TEXT(B97,"yyyy-mm")</f>
        <v>2026-05</v>
      </c>
    </row>
    <row r="98" customFormat="false" ht="15" hidden="false" customHeight="false" outlineLevel="0" collapsed="false">
      <c r="A98" s="0" t="s">
        <v>404</v>
      </c>
      <c r="B98" s="16" t="n">
        <v>46166</v>
      </c>
      <c r="C98" s="17" t="s">
        <v>30</v>
      </c>
      <c r="D98" s="17" t="s">
        <v>84</v>
      </c>
      <c r="E98" s="0" t="n">
        <v>1</v>
      </c>
      <c r="F98" s="4" t="n">
        <v>28</v>
      </c>
      <c r="G98" s="17" t="s">
        <v>19</v>
      </c>
      <c r="H98" s="17" t="s">
        <v>9</v>
      </c>
      <c r="I98" s="4" t="n">
        <f aca="false">E98*F98</f>
        <v>28</v>
      </c>
      <c r="J98" s="0" t="str">
        <f aca="false">TEXT(B98,"yyyy-mm")</f>
        <v>2026-05</v>
      </c>
    </row>
    <row r="99" customFormat="false" ht="15" hidden="false" customHeight="false" outlineLevel="0" collapsed="false">
      <c r="A99" s="0" t="s">
        <v>442</v>
      </c>
      <c r="B99" s="16" t="n">
        <v>46166</v>
      </c>
      <c r="C99" s="17" t="s">
        <v>50</v>
      </c>
      <c r="D99" s="17" t="s">
        <v>373</v>
      </c>
      <c r="E99" s="0" t="n">
        <v>2</v>
      </c>
      <c r="F99" s="4" t="n">
        <v>19.99</v>
      </c>
      <c r="G99" s="17" t="s">
        <v>18</v>
      </c>
      <c r="H99" s="17" t="s">
        <v>12</v>
      </c>
      <c r="I99" s="4" t="n">
        <f aca="false">E99*F99</f>
        <v>39.98</v>
      </c>
      <c r="J99" s="0" t="str">
        <f aca="false">TEXT(B99,"yyyy-mm")</f>
        <v>2026-05</v>
      </c>
    </row>
    <row r="100" customFormat="false" ht="15" hidden="false" customHeight="false" outlineLevel="0" collapsed="false">
      <c r="A100" s="0" t="s">
        <v>710</v>
      </c>
      <c r="B100" s="16" t="n">
        <v>46166</v>
      </c>
      <c r="C100" s="17" t="s">
        <v>101</v>
      </c>
      <c r="D100" s="17" t="s">
        <v>302</v>
      </c>
      <c r="E100" s="0" t="n">
        <v>4</v>
      </c>
      <c r="F100" s="4" t="n">
        <v>42</v>
      </c>
      <c r="G100" s="17" t="s">
        <v>17</v>
      </c>
      <c r="H100" s="17" t="s">
        <v>8</v>
      </c>
      <c r="I100" s="4" t="n">
        <f aca="false">E100*F100</f>
        <v>168</v>
      </c>
      <c r="J100" s="0" t="str">
        <f aca="false">TEXT(B100,"yyyy-mm")</f>
        <v>2026-05</v>
      </c>
    </row>
    <row r="101" customFormat="false" ht="15" hidden="false" customHeight="false" outlineLevel="0" collapsed="false">
      <c r="A101" s="0" t="s">
        <v>354</v>
      </c>
      <c r="B101" s="16" t="n">
        <v>46167</v>
      </c>
      <c r="C101" s="17" t="s">
        <v>196</v>
      </c>
      <c r="D101" s="17" t="s">
        <v>198</v>
      </c>
      <c r="E101" s="0" t="n">
        <v>2</v>
      </c>
      <c r="F101" s="4" t="n">
        <v>29</v>
      </c>
      <c r="G101" s="17" t="s">
        <v>20</v>
      </c>
      <c r="H101" s="17" t="s">
        <v>11</v>
      </c>
      <c r="I101" s="4" t="n">
        <f aca="false">E101*F101</f>
        <v>58</v>
      </c>
      <c r="J101" s="0" t="str">
        <f aca="false">TEXT(B101,"yyyy-mm")</f>
        <v>2026-05</v>
      </c>
    </row>
    <row r="102" customFormat="false" ht="15" hidden="false" customHeight="false" outlineLevel="0" collapsed="false">
      <c r="A102" s="0" t="s">
        <v>723</v>
      </c>
      <c r="B102" s="16" t="n">
        <v>46167</v>
      </c>
      <c r="C102" s="17" t="s">
        <v>577</v>
      </c>
      <c r="D102" s="17" t="s">
        <v>220</v>
      </c>
      <c r="E102" s="0" t="n">
        <v>2</v>
      </c>
      <c r="F102" s="4" t="n">
        <v>18.5</v>
      </c>
      <c r="G102" s="17" t="s">
        <v>17</v>
      </c>
      <c r="H102" s="17" t="s">
        <v>8</v>
      </c>
      <c r="I102" s="4" t="n">
        <f aca="false">E102*F102</f>
        <v>37</v>
      </c>
      <c r="J102" s="0" t="str">
        <f aca="false">TEXT(B102,"yyyy-mm")</f>
        <v>2026-05</v>
      </c>
    </row>
    <row r="103" customFormat="false" ht="15" hidden="false" customHeight="false" outlineLevel="0" collapsed="false">
      <c r="A103" s="0" t="s">
        <v>445</v>
      </c>
      <c r="B103" s="16" t="n">
        <v>46168</v>
      </c>
      <c r="C103" s="17" t="s">
        <v>238</v>
      </c>
      <c r="D103" s="17" t="s">
        <v>204</v>
      </c>
      <c r="E103" s="0" t="n">
        <v>1</v>
      </c>
      <c r="F103" s="4" t="n">
        <v>39</v>
      </c>
      <c r="G103" s="17" t="s">
        <v>20</v>
      </c>
      <c r="H103" s="17" t="s">
        <v>9</v>
      </c>
      <c r="I103" s="4" t="n">
        <f aca="false">E103*F103</f>
        <v>39</v>
      </c>
      <c r="J103" s="0" t="str">
        <f aca="false">TEXT(B103,"yyyy-mm")</f>
        <v>2026-05</v>
      </c>
    </row>
    <row r="104" customFormat="false" ht="15" hidden="false" customHeight="false" outlineLevel="0" collapsed="false">
      <c r="A104" s="0" t="s">
        <v>58</v>
      </c>
      <c r="B104" s="16" t="n">
        <v>46169</v>
      </c>
      <c r="C104" s="17" t="s">
        <v>60</v>
      </c>
      <c r="D104" s="17" t="s">
        <v>220</v>
      </c>
      <c r="E104" s="0" t="n">
        <v>4</v>
      </c>
      <c r="F104" s="4" t="n">
        <v>18.5</v>
      </c>
      <c r="G104" s="17" t="s">
        <v>17</v>
      </c>
      <c r="H104" s="17" t="s">
        <v>8</v>
      </c>
      <c r="I104" s="4" t="n">
        <f aca="false">E104*F104</f>
        <v>74</v>
      </c>
      <c r="J104" s="0" t="str">
        <f aca="false">TEXT(B104,"yyyy-mm")</f>
        <v>2026-05</v>
      </c>
    </row>
    <row r="105" customFormat="false" ht="15" hidden="false" customHeight="false" outlineLevel="0" collapsed="false">
      <c r="A105" s="0" t="s">
        <v>175</v>
      </c>
      <c r="B105" s="16" t="n">
        <v>46169</v>
      </c>
      <c r="C105" s="17" t="s">
        <v>128</v>
      </c>
      <c r="D105" s="17" t="s">
        <v>177</v>
      </c>
      <c r="E105" s="0" t="n">
        <v>1</v>
      </c>
      <c r="F105" s="4" t="n">
        <v>13</v>
      </c>
      <c r="G105" s="17" t="s">
        <v>19</v>
      </c>
      <c r="H105" s="17" t="s">
        <v>12</v>
      </c>
      <c r="I105" s="4" t="n">
        <f aca="false">E105*F105</f>
        <v>13</v>
      </c>
      <c r="J105" s="0" t="str">
        <f aca="false">TEXT(B105,"yyyy-mm")</f>
        <v>2026-05</v>
      </c>
    </row>
    <row r="106" customFormat="false" ht="15" hidden="false" customHeight="false" outlineLevel="0" collapsed="false">
      <c r="A106" s="0" t="s">
        <v>818</v>
      </c>
      <c r="B106" s="16" t="n">
        <v>46169</v>
      </c>
      <c r="C106" s="17" t="s">
        <v>159</v>
      </c>
      <c r="D106" s="17" t="s">
        <v>36</v>
      </c>
      <c r="E106" s="0" t="n">
        <v>2</v>
      </c>
      <c r="F106" s="4" t="n">
        <v>13.5</v>
      </c>
      <c r="G106" s="17" t="s">
        <v>20</v>
      </c>
      <c r="H106" s="17" t="s">
        <v>11</v>
      </c>
      <c r="I106" s="4" t="n">
        <f aca="false">E106*F106</f>
        <v>27</v>
      </c>
      <c r="J106" s="0" t="str">
        <f aca="false">TEXT(B106,"yyyy-mm")</f>
        <v>2026-05</v>
      </c>
    </row>
    <row r="107" customFormat="false" ht="15" hidden="false" customHeight="false" outlineLevel="0" collapsed="false">
      <c r="A107" s="0" t="s">
        <v>276</v>
      </c>
      <c r="B107" s="16" t="n">
        <v>46172</v>
      </c>
      <c r="C107" s="17" t="s">
        <v>164</v>
      </c>
      <c r="D107" s="17" t="s">
        <v>239</v>
      </c>
      <c r="E107" s="0" t="n">
        <v>2</v>
      </c>
      <c r="F107" s="4" t="n">
        <v>14.99</v>
      </c>
      <c r="G107" s="17" t="s">
        <v>17</v>
      </c>
      <c r="H107" s="17" t="s">
        <v>11</v>
      </c>
      <c r="I107" s="4" t="n">
        <f aca="false">E107*F107</f>
        <v>29.98</v>
      </c>
      <c r="J107" s="0" t="str">
        <f aca="false">TEXT(B107,"yyyy-mm")</f>
        <v>2026-05</v>
      </c>
    </row>
    <row r="108" customFormat="false" ht="15" hidden="false" customHeight="false" outlineLevel="0" collapsed="false">
      <c r="A108" s="0" t="s">
        <v>516</v>
      </c>
      <c r="B108" s="16" t="n">
        <v>46172</v>
      </c>
      <c r="C108" s="17" t="s">
        <v>518</v>
      </c>
      <c r="D108" s="17" t="s">
        <v>257</v>
      </c>
      <c r="E108" s="0" t="n">
        <v>3</v>
      </c>
      <c r="F108" s="4" t="n">
        <v>45</v>
      </c>
      <c r="G108" s="17" t="s">
        <v>20</v>
      </c>
      <c r="H108" s="17" t="s">
        <v>9</v>
      </c>
      <c r="I108" s="4" t="n">
        <f aca="false">E108*F108</f>
        <v>135</v>
      </c>
      <c r="J108" s="0" t="str">
        <f aca="false">TEXT(B108,"yyyy-mm")</f>
        <v>2026-05</v>
      </c>
    </row>
    <row r="109" customFormat="false" ht="15" hidden="false" customHeight="false" outlineLevel="0" collapsed="false">
      <c r="A109" s="0" t="s">
        <v>563</v>
      </c>
      <c r="B109" s="16" t="n">
        <v>46172</v>
      </c>
      <c r="C109" s="17" t="s">
        <v>228</v>
      </c>
      <c r="D109" s="17" t="s">
        <v>102</v>
      </c>
      <c r="E109" s="0" t="n">
        <v>3</v>
      </c>
      <c r="F109" s="4" t="n">
        <v>7.5</v>
      </c>
      <c r="G109" s="17" t="s">
        <v>18</v>
      </c>
      <c r="H109" s="17" t="s">
        <v>12</v>
      </c>
      <c r="I109" s="4" t="n">
        <f aca="false">E109*F109</f>
        <v>22.5</v>
      </c>
      <c r="J109" s="0" t="str">
        <f aca="false">TEXT(B109,"yyyy-mm")</f>
        <v>2026-05</v>
      </c>
    </row>
    <row r="110" customFormat="false" ht="15" hidden="false" customHeight="false" outlineLevel="0" collapsed="false">
      <c r="A110" s="0" t="s">
        <v>477</v>
      </c>
      <c r="B110" s="16" t="n">
        <v>46173</v>
      </c>
      <c r="C110" s="17" t="s">
        <v>188</v>
      </c>
      <c r="D110" s="17" t="s">
        <v>369</v>
      </c>
      <c r="E110" s="0" t="n">
        <v>4</v>
      </c>
      <c r="F110" s="4" t="n">
        <v>12</v>
      </c>
      <c r="G110" s="17" t="s">
        <v>17</v>
      </c>
      <c r="H110" s="17" t="s">
        <v>13</v>
      </c>
      <c r="I110" s="4" t="n">
        <f aca="false">E110*F110</f>
        <v>48</v>
      </c>
      <c r="J110" s="0" t="str">
        <f aca="false">TEXT(B110,"yyyy-mm")</f>
        <v>2026-05</v>
      </c>
    </row>
    <row r="111" customFormat="false" ht="15" hidden="false" customHeight="false" outlineLevel="0" collapsed="false">
      <c r="A111" s="0" t="s">
        <v>53</v>
      </c>
      <c r="B111" s="16" t="n">
        <v>46175</v>
      </c>
      <c r="C111" s="17" t="s">
        <v>55</v>
      </c>
      <c r="D111" s="17" t="s">
        <v>56</v>
      </c>
      <c r="E111" s="0" t="n">
        <v>4</v>
      </c>
      <c r="F111" s="4" t="n">
        <v>15.99</v>
      </c>
      <c r="G111" s="17" t="s">
        <v>20</v>
      </c>
      <c r="H111" s="17" t="s">
        <v>10</v>
      </c>
      <c r="I111" s="4" t="n">
        <f aca="false">E111*F111</f>
        <v>63.96</v>
      </c>
      <c r="J111" s="0" t="str">
        <f aca="false">TEXT(B111,"yyyy-mm")</f>
        <v>2026-06</v>
      </c>
    </row>
    <row r="112" customFormat="false" ht="15" hidden="false" customHeight="false" outlineLevel="0" collapsed="false">
      <c r="A112" s="0" t="s">
        <v>729</v>
      </c>
      <c r="B112" s="16" t="n">
        <v>46175</v>
      </c>
      <c r="C112" s="17" t="s">
        <v>70</v>
      </c>
      <c r="D112" s="17" t="s">
        <v>229</v>
      </c>
      <c r="E112" s="0" t="n">
        <v>4</v>
      </c>
      <c r="F112" s="4" t="n">
        <v>31.5</v>
      </c>
      <c r="G112" s="17" t="s">
        <v>20</v>
      </c>
      <c r="H112" s="17" t="s">
        <v>9</v>
      </c>
      <c r="I112" s="4" t="n">
        <f aca="false">E112*F112</f>
        <v>126</v>
      </c>
      <c r="J112" s="0" t="str">
        <f aca="false">TEXT(B112,"yyyy-mm")</f>
        <v>2026-06</v>
      </c>
    </row>
    <row r="113" customFormat="false" ht="15" hidden="false" customHeight="false" outlineLevel="0" collapsed="false">
      <c r="A113" s="0" t="s">
        <v>63</v>
      </c>
      <c r="B113" s="16" t="n">
        <v>46176</v>
      </c>
      <c r="C113" s="17" t="s">
        <v>65</v>
      </c>
      <c r="D113" s="17" t="s">
        <v>46</v>
      </c>
      <c r="E113" s="0" t="n">
        <v>3</v>
      </c>
      <c r="F113" s="4" t="n">
        <v>9.99</v>
      </c>
      <c r="G113" s="17" t="s">
        <v>20</v>
      </c>
      <c r="H113" s="17" t="s">
        <v>8</v>
      </c>
      <c r="I113" s="4" t="n">
        <f aca="false">E113*F113</f>
        <v>29.97</v>
      </c>
      <c r="J113" s="0" t="str">
        <f aca="false">TEXT(B113,"yyyy-mm")</f>
        <v>2026-06</v>
      </c>
    </row>
    <row r="114" customFormat="false" ht="15" hidden="false" customHeight="false" outlineLevel="0" collapsed="false">
      <c r="A114" s="0" t="s">
        <v>258</v>
      </c>
      <c r="B114" s="16" t="n">
        <v>46176</v>
      </c>
      <c r="C114" s="17" t="s">
        <v>174</v>
      </c>
      <c r="D114" s="17" t="s">
        <v>259</v>
      </c>
      <c r="E114" s="0" t="n">
        <v>1</v>
      </c>
      <c r="F114" s="4" t="n">
        <v>11</v>
      </c>
      <c r="G114" s="17" t="s">
        <v>19</v>
      </c>
      <c r="H114" s="17" t="s">
        <v>11</v>
      </c>
      <c r="I114" s="4" t="n">
        <f aca="false">E114*F114</f>
        <v>11</v>
      </c>
      <c r="J114" s="0" t="str">
        <f aca="false">TEXT(B114,"yyyy-mm")</f>
        <v>2026-06</v>
      </c>
    </row>
    <row r="115" customFormat="false" ht="15" hidden="false" customHeight="false" outlineLevel="0" collapsed="false">
      <c r="A115" s="0" t="s">
        <v>519</v>
      </c>
      <c r="B115" s="16" t="n">
        <v>46176</v>
      </c>
      <c r="C115" s="17" t="s">
        <v>382</v>
      </c>
      <c r="D115" s="17" t="s">
        <v>220</v>
      </c>
      <c r="E115" s="0" t="n">
        <v>2</v>
      </c>
      <c r="F115" s="4" t="n">
        <v>18.5</v>
      </c>
      <c r="G115" s="17" t="s">
        <v>20</v>
      </c>
      <c r="H115" s="17" t="s">
        <v>8</v>
      </c>
      <c r="I115" s="4" t="n">
        <f aca="false">E115*F115</f>
        <v>37</v>
      </c>
      <c r="J115" s="0" t="str">
        <f aca="false">TEXT(B115,"yyyy-mm")</f>
        <v>2026-06</v>
      </c>
    </row>
    <row r="116" customFormat="false" ht="15" hidden="false" customHeight="false" outlineLevel="0" collapsed="false">
      <c r="A116" s="0" t="s">
        <v>748</v>
      </c>
      <c r="B116" s="16" t="n">
        <v>46176</v>
      </c>
      <c r="C116" s="17" t="s">
        <v>233</v>
      </c>
      <c r="D116" s="17" t="s">
        <v>302</v>
      </c>
      <c r="E116" s="0" t="n">
        <v>4</v>
      </c>
      <c r="F116" s="4" t="n">
        <v>42</v>
      </c>
      <c r="G116" s="17" t="s">
        <v>17</v>
      </c>
      <c r="H116" s="17" t="s">
        <v>8</v>
      </c>
      <c r="I116" s="4" t="n">
        <f aca="false">E116*F116</f>
        <v>168</v>
      </c>
      <c r="J116" s="0" t="str">
        <f aca="false">TEXT(B116,"yyyy-mm")</f>
        <v>2026-06</v>
      </c>
    </row>
    <row r="117" customFormat="false" ht="15" hidden="false" customHeight="false" outlineLevel="0" collapsed="false">
      <c r="A117" s="0" t="s">
        <v>792</v>
      </c>
      <c r="B117" s="16" t="n">
        <v>46177</v>
      </c>
      <c r="C117" s="17" t="s">
        <v>174</v>
      </c>
      <c r="D117" s="17" t="s">
        <v>338</v>
      </c>
      <c r="E117" s="0" t="n">
        <v>2</v>
      </c>
      <c r="F117" s="4" t="n">
        <v>16.5</v>
      </c>
      <c r="G117" s="17" t="s">
        <v>19</v>
      </c>
      <c r="H117" s="17" t="s">
        <v>12</v>
      </c>
      <c r="I117" s="4" t="n">
        <f aca="false">E117*F117</f>
        <v>33</v>
      </c>
      <c r="J117" s="0" t="str">
        <f aca="false">TEXT(B117,"yyyy-mm")</f>
        <v>2026-06</v>
      </c>
    </row>
    <row r="118" customFormat="false" ht="15" hidden="false" customHeight="false" outlineLevel="0" collapsed="false">
      <c r="A118" s="0" t="s">
        <v>816</v>
      </c>
      <c r="B118" s="16" t="n">
        <v>46177</v>
      </c>
      <c r="C118" s="17" t="s">
        <v>30</v>
      </c>
      <c r="D118" s="17" t="s">
        <v>204</v>
      </c>
      <c r="E118" s="0" t="n">
        <v>3</v>
      </c>
      <c r="F118" s="4" t="n">
        <v>39</v>
      </c>
      <c r="G118" s="17" t="s">
        <v>18</v>
      </c>
      <c r="H118" s="17" t="s">
        <v>9</v>
      </c>
      <c r="I118" s="4" t="n">
        <f aca="false">E118*F118</f>
        <v>117</v>
      </c>
      <c r="J118" s="0" t="str">
        <f aca="false">TEXT(B118,"yyyy-mm")</f>
        <v>2026-06</v>
      </c>
    </row>
    <row r="119" customFormat="false" ht="15" hidden="false" customHeight="false" outlineLevel="0" collapsed="false">
      <c r="A119" s="0" t="s">
        <v>395</v>
      </c>
      <c r="B119" s="16" t="n">
        <v>46179</v>
      </c>
      <c r="C119" s="17" t="s">
        <v>228</v>
      </c>
      <c r="D119" s="17" t="s">
        <v>397</v>
      </c>
      <c r="E119" s="0" t="n">
        <v>1</v>
      </c>
      <c r="F119" s="4" t="n">
        <v>12.5</v>
      </c>
      <c r="G119" s="17" t="s">
        <v>18</v>
      </c>
      <c r="H119" s="17" t="s">
        <v>9</v>
      </c>
      <c r="I119" s="4" t="n">
        <f aca="false">E119*F119</f>
        <v>12.5</v>
      </c>
      <c r="J119" s="0" t="str">
        <f aca="false">TEXT(B119,"yyyy-mm")</f>
        <v>2026-06</v>
      </c>
    </row>
    <row r="120" customFormat="false" ht="15" hidden="false" customHeight="false" outlineLevel="0" collapsed="false">
      <c r="A120" s="0" t="s">
        <v>706</v>
      </c>
      <c r="B120" s="16" t="n">
        <v>46179</v>
      </c>
      <c r="C120" s="17" t="s">
        <v>159</v>
      </c>
      <c r="D120" s="17" t="s">
        <v>93</v>
      </c>
      <c r="E120" s="0" t="n">
        <v>1</v>
      </c>
      <c r="F120" s="4" t="n">
        <v>17</v>
      </c>
      <c r="G120" s="17" t="s">
        <v>18</v>
      </c>
      <c r="H120" s="17" t="s">
        <v>10</v>
      </c>
      <c r="I120" s="4" t="n">
        <f aca="false">E120*F120</f>
        <v>17</v>
      </c>
      <c r="J120" s="0" t="str">
        <f aca="false">TEXT(B120,"yyyy-mm")</f>
        <v>2026-06</v>
      </c>
    </row>
    <row r="121" customFormat="false" ht="15" hidden="false" customHeight="false" outlineLevel="0" collapsed="false">
      <c r="A121" s="0" t="s">
        <v>497</v>
      </c>
      <c r="B121" s="16" t="n">
        <v>46180</v>
      </c>
      <c r="C121" s="17" t="s">
        <v>106</v>
      </c>
      <c r="D121" s="17" t="s">
        <v>204</v>
      </c>
      <c r="E121" s="0" t="n">
        <v>2</v>
      </c>
      <c r="F121" s="4" t="n">
        <v>39</v>
      </c>
      <c r="G121" s="17" t="s">
        <v>19</v>
      </c>
      <c r="H121" s="17" t="s">
        <v>9</v>
      </c>
      <c r="I121" s="4" t="n">
        <f aca="false">E121*F121</f>
        <v>78</v>
      </c>
      <c r="J121" s="0" t="str">
        <f aca="false">TEXT(B121,"yyyy-mm")</f>
        <v>2026-06</v>
      </c>
    </row>
    <row r="122" customFormat="false" ht="15" hidden="false" customHeight="false" outlineLevel="0" collapsed="false">
      <c r="A122" s="0" t="s">
        <v>762</v>
      </c>
      <c r="B122" s="16" t="n">
        <v>46181</v>
      </c>
      <c r="C122" s="17" t="s">
        <v>30</v>
      </c>
      <c r="D122" s="17" t="s">
        <v>129</v>
      </c>
      <c r="E122" s="0" t="n">
        <v>4</v>
      </c>
      <c r="F122" s="4" t="n">
        <v>11.99</v>
      </c>
      <c r="G122" s="17" t="s">
        <v>17</v>
      </c>
      <c r="H122" s="17" t="s">
        <v>13</v>
      </c>
      <c r="I122" s="4" t="n">
        <f aca="false">E122*F122</f>
        <v>47.96</v>
      </c>
      <c r="J122" s="0" t="str">
        <f aca="false">TEXT(B122,"yyyy-mm")</f>
        <v>2026-06</v>
      </c>
    </row>
    <row r="123" customFormat="false" ht="15" hidden="false" customHeight="false" outlineLevel="0" collapsed="false">
      <c r="A123" s="0" t="s">
        <v>795</v>
      </c>
      <c r="B123" s="16" t="n">
        <v>46181</v>
      </c>
      <c r="C123" s="17" t="s">
        <v>624</v>
      </c>
      <c r="D123" s="17" t="s">
        <v>373</v>
      </c>
      <c r="E123" s="0" t="n">
        <v>4</v>
      </c>
      <c r="F123" s="4" t="n">
        <v>19.99</v>
      </c>
      <c r="G123" s="17" t="s">
        <v>19</v>
      </c>
      <c r="H123" s="17" t="s">
        <v>12</v>
      </c>
      <c r="I123" s="4" t="n">
        <f aca="false">E123*F123</f>
        <v>79.96</v>
      </c>
      <c r="J123" s="0" t="str">
        <f aca="false">TEXT(B123,"yyyy-mm")</f>
        <v>2026-06</v>
      </c>
    </row>
    <row r="124" customFormat="false" ht="15" hidden="false" customHeight="false" outlineLevel="0" collapsed="false">
      <c r="A124" s="0" t="s">
        <v>310</v>
      </c>
      <c r="B124" s="16" t="n">
        <v>46182</v>
      </c>
      <c r="C124" s="17" t="s">
        <v>50</v>
      </c>
      <c r="D124" s="17" t="s">
        <v>312</v>
      </c>
      <c r="E124" s="0" t="n">
        <v>2</v>
      </c>
      <c r="F124" s="4" t="n">
        <v>9.5</v>
      </c>
      <c r="G124" s="17" t="s">
        <v>17</v>
      </c>
      <c r="H124" s="17" t="s">
        <v>13</v>
      </c>
      <c r="I124" s="4" t="n">
        <f aca="false">E124*F124</f>
        <v>19</v>
      </c>
      <c r="J124" s="0" t="str">
        <f aca="false">TEXT(B124,"yyyy-mm")</f>
        <v>2026-06</v>
      </c>
    </row>
    <row r="125" customFormat="false" ht="15" hidden="false" customHeight="false" outlineLevel="0" collapsed="false">
      <c r="A125" s="0" t="s">
        <v>28</v>
      </c>
      <c r="B125" s="16" t="n">
        <v>46183</v>
      </c>
      <c r="C125" s="17" t="s">
        <v>30</v>
      </c>
      <c r="D125" s="17" t="s">
        <v>80</v>
      </c>
      <c r="E125" s="0" t="n">
        <v>3</v>
      </c>
      <c r="F125" s="4" t="n">
        <v>27.99</v>
      </c>
      <c r="G125" s="17" t="s">
        <v>20</v>
      </c>
      <c r="H125" s="17" t="s">
        <v>8</v>
      </c>
      <c r="I125" s="4" t="n">
        <f aca="false">E125*F125</f>
        <v>83.97</v>
      </c>
      <c r="J125" s="0" t="str">
        <f aca="false">TEXT(B125,"yyyy-mm")</f>
        <v>2026-06</v>
      </c>
    </row>
    <row r="126" customFormat="false" ht="15" hidden="false" customHeight="false" outlineLevel="0" collapsed="false">
      <c r="A126" s="0" t="s">
        <v>179</v>
      </c>
      <c r="B126" s="16" t="n">
        <v>46183</v>
      </c>
      <c r="C126" s="17" t="s">
        <v>123</v>
      </c>
      <c r="D126" s="17" t="s">
        <v>46</v>
      </c>
      <c r="E126" s="0" t="n">
        <v>2</v>
      </c>
      <c r="F126" s="4" t="n">
        <v>9.99</v>
      </c>
      <c r="G126" s="17" t="s">
        <v>17</v>
      </c>
      <c r="H126" s="17" t="s">
        <v>8</v>
      </c>
      <c r="I126" s="4" t="n">
        <f aca="false">E126*F126</f>
        <v>19.98</v>
      </c>
      <c r="J126" s="0" t="str">
        <f aca="false">TEXT(B126,"yyyy-mm")</f>
        <v>2026-06</v>
      </c>
    </row>
    <row r="127" customFormat="false" ht="15" hidden="false" customHeight="false" outlineLevel="0" collapsed="false">
      <c r="A127" s="0" t="s">
        <v>469</v>
      </c>
      <c r="B127" s="16" t="n">
        <v>46183</v>
      </c>
      <c r="C127" s="17" t="s">
        <v>101</v>
      </c>
      <c r="D127" s="17" t="s">
        <v>110</v>
      </c>
      <c r="E127" s="0" t="n">
        <v>1</v>
      </c>
      <c r="F127" s="4" t="n">
        <v>14</v>
      </c>
      <c r="G127" s="17" t="s">
        <v>19</v>
      </c>
      <c r="H127" s="17" t="s">
        <v>12</v>
      </c>
      <c r="I127" s="4" t="n">
        <f aca="false">E127*F127</f>
        <v>14</v>
      </c>
      <c r="J127" s="0" t="str">
        <f aca="false">TEXT(B127,"yyyy-mm")</f>
        <v>2026-06</v>
      </c>
    </row>
    <row r="128" customFormat="false" ht="15" hidden="false" customHeight="false" outlineLevel="0" collapsed="false">
      <c r="A128" s="0" t="s">
        <v>463</v>
      </c>
      <c r="B128" s="16" t="n">
        <v>46184</v>
      </c>
      <c r="C128" s="17" t="s">
        <v>35</v>
      </c>
      <c r="D128" s="17" t="s">
        <v>102</v>
      </c>
      <c r="E128" s="0" t="n">
        <v>3</v>
      </c>
      <c r="F128" s="4" t="n">
        <v>7.5</v>
      </c>
      <c r="G128" s="17" t="s">
        <v>19</v>
      </c>
      <c r="H128" s="17" t="s">
        <v>12</v>
      </c>
      <c r="I128" s="4" t="n">
        <f aca="false">E128*F128</f>
        <v>22.5</v>
      </c>
      <c r="J128" s="0" t="str">
        <f aca="false">TEXT(B128,"yyyy-mm")</f>
        <v>2026-06</v>
      </c>
    </row>
    <row r="129" customFormat="false" ht="15" hidden="false" customHeight="false" outlineLevel="0" collapsed="false">
      <c r="A129" s="0" t="s">
        <v>261</v>
      </c>
      <c r="B129" s="16" t="n">
        <v>46185</v>
      </c>
      <c r="C129" s="17" t="s">
        <v>133</v>
      </c>
      <c r="D129" s="17" t="s">
        <v>80</v>
      </c>
      <c r="E129" s="0" t="n">
        <v>2</v>
      </c>
      <c r="F129" s="4" t="n">
        <v>27.99</v>
      </c>
      <c r="G129" s="17" t="s">
        <v>19</v>
      </c>
      <c r="H129" s="17" t="s">
        <v>8</v>
      </c>
      <c r="I129" s="4" t="n">
        <f aca="false">E129*F129</f>
        <v>55.98</v>
      </c>
      <c r="J129" s="0" t="str">
        <f aca="false">TEXT(B129,"yyyy-mm")</f>
        <v>2026-06</v>
      </c>
    </row>
    <row r="130" customFormat="false" ht="15" hidden="false" customHeight="false" outlineLevel="0" collapsed="false">
      <c r="A130" s="0" t="s">
        <v>568</v>
      </c>
      <c r="B130" s="16" t="n">
        <v>46185</v>
      </c>
      <c r="C130" s="17" t="s">
        <v>101</v>
      </c>
      <c r="D130" s="17" t="s">
        <v>377</v>
      </c>
      <c r="E130" s="0" t="n">
        <v>2</v>
      </c>
      <c r="F130" s="4" t="n">
        <v>22</v>
      </c>
      <c r="G130" s="17" t="s">
        <v>17</v>
      </c>
      <c r="H130" s="17" t="s">
        <v>9</v>
      </c>
      <c r="I130" s="4" t="n">
        <f aca="false">E130*F130</f>
        <v>44</v>
      </c>
      <c r="J130" s="0" t="str">
        <f aca="false">TEXT(B130,"yyyy-mm")</f>
        <v>2026-06</v>
      </c>
    </row>
    <row r="131" customFormat="false" ht="15" hidden="false" customHeight="false" outlineLevel="0" collapsed="false">
      <c r="A131" s="0" t="s">
        <v>800</v>
      </c>
      <c r="B131" s="16" t="n">
        <v>46185</v>
      </c>
      <c r="C131" s="17" t="s">
        <v>114</v>
      </c>
      <c r="D131" s="17" t="s">
        <v>84</v>
      </c>
      <c r="E131" s="0" t="n">
        <v>1</v>
      </c>
      <c r="F131" s="4" t="n">
        <v>28</v>
      </c>
      <c r="G131" s="17" t="s">
        <v>19</v>
      </c>
      <c r="H131" s="17" t="s">
        <v>9</v>
      </c>
      <c r="I131" s="4" t="n">
        <f aca="false">E131*F131</f>
        <v>28</v>
      </c>
      <c r="J131" s="0" t="str">
        <f aca="false">TEXT(B131,"yyyy-mm")</f>
        <v>2026-06</v>
      </c>
    </row>
    <row r="132" customFormat="false" ht="15" hidden="false" customHeight="false" outlineLevel="0" collapsed="false">
      <c r="A132" s="0" t="s">
        <v>222</v>
      </c>
      <c r="B132" s="16" t="n">
        <v>46186</v>
      </c>
      <c r="C132" s="17" t="s">
        <v>164</v>
      </c>
      <c r="D132" s="17" t="s">
        <v>36</v>
      </c>
      <c r="E132" s="0" t="n">
        <v>3</v>
      </c>
      <c r="F132" s="4" t="n">
        <v>13.5</v>
      </c>
      <c r="G132" s="17" t="s">
        <v>17</v>
      </c>
      <c r="H132" s="17" t="s">
        <v>11</v>
      </c>
      <c r="I132" s="4" t="n">
        <f aca="false">E132*F132</f>
        <v>40.5</v>
      </c>
      <c r="J132" s="0" t="str">
        <f aca="false">TEXT(B132,"yyyy-mm")</f>
        <v>2026-06</v>
      </c>
    </row>
    <row r="133" customFormat="false" ht="15" hidden="false" customHeight="false" outlineLevel="0" collapsed="false">
      <c r="A133" s="0" t="s">
        <v>832</v>
      </c>
      <c r="B133" s="16" t="n">
        <v>46186</v>
      </c>
      <c r="C133" s="17" t="s">
        <v>159</v>
      </c>
      <c r="D133" s="17" t="s">
        <v>46</v>
      </c>
      <c r="E133" s="0" t="n">
        <v>2</v>
      </c>
      <c r="F133" s="4" t="n">
        <v>9.99</v>
      </c>
      <c r="G133" s="17" t="s">
        <v>18</v>
      </c>
      <c r="H133" s="17" t="s">
        <v>8</v>
      </c>
      <c r="I133" s="4" t="n">
        <f aca="false">E133*F133</f>
        <v>19.98</v>
      </c>
      <c r="J133" s="0" t="str">
        <f aca="false">TEXT(B133,"yyyy-mm")</f>
        <v>2026-06</v>
      </c>
    </row>
    <row r="134" customFormat="false" ht="15" hidden="false" customHeight="false" outlineLevel="0" collapsed="false">
      <c r="A134" s="0" t="s">
        <v>153</v>
      </c>
      <c r="B134" s="16" t="n">
        <v>46187</v>
      </c>
      <c r="C134" s="17" t="s">
        <v>133</v>
      </c>
      <c r="D134" s="17" t="s">
        <v>88</v>
      </c>
      <c r="E134" s="0" t="n">
        <v>2</v>
      </c>
      <c r="F134" s="4" t="n">
        <v>44</v>
      </c>
      <c r="G134" s="17" t="s">
        <v>18</v>
      </c>
      <c r="H134" s="17" t="s">
        <v>11</v>
      </c>
      <c r="I134" s="4" t="n">
        <f aca="false">E134*F134</f>
        <v>88</v>
      </c>
      <c r="J134" s="0" t="str">
        <f aca="false">TEXT(B134,"yyyy-mm")</f>
        <v>2026-06</v>
      </c>
    </row>
    <row r="135" customFormat="false" ht="15" hidden="false" customHeight="false" outlineLevel="0" collapsed="false">
      <c r="A135" s="0" t="s">
        <v>357</v>
      </c>
      <c r="B135" s="16" t="n">
        <v>46187</v>
      </c>
      <c r="C135" s="17" t="s">
        <v>114</v>
      </c>
      <c r="D135" s="17" t="s">
        <v>282</v>
      </c>
      <c r="E135" s="0" t="n">
        <v>3</v>
      </c>
      <c r="F135" s="4" t="n">
        <v>34</v>
      </c>
      <c r="G135" s="17" t="s">
        <v>18</v>
      </c>
      <c r="H135" s="17" t="s">
        <v>8</v>
      </c>
      <c r="I135" s="4" t="n">
        <f aca="false">E135*F135</f>
        <v>102</v>
      </c>
      <c r="J135" s="0" t="str">
        <f aca="false">TEXT(B135,"yyyy-mm")</f>
        <v>2026-06</v>
      </c>
    </row>
    <row r="136" customFormat="false" ht="15" hidden="false" customHeight="false" outlineLevel="0" collapsed="false">
      <c r="A136" s="0" t="s">
        <v>677</v>
      </c>
      <c r="B136" s="16" t="n">
        <v>46187</v>
      </c>
      <c r="C136" s="17" t="s">
        <v>45</v>
      </c>
      <c r="D136" s="17" t="s">
        <v>397</v>
      </c>
      <c r="E136" s="0" t="n">
        <v>4</v>
      </c>
      <c r="F136" s="4" t="n">
        <v>12.5</v>
      </c>
      <c r="G136" s="17" t="s">
        <v>19</v>
      </c>
      <c r="H136" s="17" t="s">
        <v>9</v>
      </c>
      <c r="I136" s="4" t="n">
        <f aca="false">E136*F136</f>
        <v>50</v>
      </c>
      <c r="J136" s="0" t="str">
        <f aca="false">TEXT(B136,"yyyy-mm")</f>
        <v>2026-06</v>
      </c>
    </row>
    <row r="137" customFormat="false" ht="15" hidden="false" customHeight="false" outlineLevel="0" collapsed="false">
      <c r="A137" s="0" t="s">
        <v>297</v>
      </c>
      <c r="B137" s="16" t="n">
        <v>46188</v>
      </c>
      <c r="C137" s="17" t="s">
        <v>133</v>
      </c>
      <c r="D137" s="17" t="s">
        <v>299</v>
      </c>
      <c r="E137" s="0" t="n">
        <v>2</v>
      </c>
      <c r="F137" s="4" t="n">
        <v>62</v>
      </c>
      <c r="G137" s="17" t="s">
        <v>17</v>
      </c>
      <c r="H137" s="17" t="s">
        <v>11</v>
      </c>
      <c r="I137" s="4" t="n">
        <f aca="false">E137*F137</f>
        <v>124</v>
      </c>
      <c r="J137" s="0" t="str">
        <f aca="false">TEXT(B137,"yyyy-mm")</f>
        <v>2026-06</v>
      </c>
    </row>
    <row r="138" customFormat="false" ht="15" hidden="false" customHeight="false" outlineLevel="0" collapsed="false">
      <c r="A138" s="0" t="s">
        <v>458</v>
      </c>
      <c r="B138" s="16" t="n">
        <v>46188</v>
      </c>
      <c r="C138" s="17" t="s">
        <v>331</v>
      </c>
      <c r="D138" s="17" t="s">
        <v>36</v>
      </c>
      <c r="E138" s="0" t="n">
        <v>3</v>
      </c>
      <c r="F138" s="4" t="n">
        <v>13.5</v>
      </c>
      <c r="G138" s="17" t="s">
        <v>18</v>
      </c>
      <c r="H138" s="17" t="s">
        <v>11</v>
      </c>
      <c r="I138" s="4" t="n">
        <f aca="false">E138*F138</f>
        <v>40.5</v>
      </c>
      <c r="J138" s="0" t="str">
        <f aca="false">TEXT(B138,"yyyy-mm")</f>
        <v>2026-06</v>
      </c>
    </row>
    <row r="139" customFormat="false" ht="15" hidden="false" customHeight="false" outlineLevel="0" collapsed="false">
      <c r="A139" s="0" t="s">
        <v>537</v>
      </c>
      <c r="B139" s="16" t="n">
        <v>46188</v>
      </c>
      <c r="C139" s="17" t="s">
        <v>256</v>
      </c>
      <c r="D139" s="17" t="s">
        <v>229</v>
      </c>
      <c r="E139" s="0" t="n">
        <v>4</v>
      </c>
      <c r="F139" s="4" t="n">
        <v>31.5</v>
      </c>
      <c r="G139" s="17" t="s">
        <v>17</v>
      </c>
      <c r="H139" s="17" t="s">
        <v>9</v>
      </c>
      <c r="I139" s="4" t="n">
        <f aca="false">E139*F139</f>
        <v>126</v>
      </c>
      <c r="J139" s="0" t="str">
        <f aca="false">TEXT(B139,"yyyy-mm")</f>
        <v>2026-06</v>
      </c>
    </row>
    <row r="140" customFormat="false" ht="15" hidden="false" customHeight="false" outlineLevel="0" collapsed="false">
      <c r="A140" s="0" t="s">
        <v>636</v>
      </c>
      <c r="B140" s="16" t="n">
        <v>46188</v>
      </c>
      <c r="C140" s="17" t="s">
        <v>133</v>
      </c>
      <c r="D140" s="17" t="s">
        <v>46</v>
      </c>
      <c r="E140" s="0" t="n">
        <v>4</v>
      </c>
      <c r="F140" s="4" t="n">
        <v>9.99</v>
      </c>
      <c r="G140" s="17" t="s">
        <v>17</v>
      </c>
      <c r="H140" s="17" t="s">
        <v>8</v>
      </c>
      <c r="I140" s="4" t="n">
        <f aca="false">E140*F140</f>
        <v>39.96</v>
      </c>
      <c r="J140" s="0" t="str">
        <f aca="false">TEXT(B140,"yyyy-mm")</f>
        <v>2026-06</v>
      </c>
    </row>
    <row r="141" customFormat="false" ht="15" hidden="false" customHeight="false" outlineLevel="0" collapsed="false">
      <c r="A141" s="0" t="s">
        <v>823</v>
      </c>
      <c r="B141" s="16" t="n">
        <v>46188</v>
      </c>
      <c r="C141" s="17" t="s">
        <v>164</v>
      </c>
      <c r="D141" s="17" t="s">
        <v>369</v>
      </c>
      <c r="E141" s="0" t="n">
        <v>4</v>
      </c>
      <c r="F141" s="4" t="n">
        <v>12</v>
      </c>
      <c r="G141" s="17" t="s">
        <v>20</v>
      </c>
      <c r="H141" s="17" t="s">
        <v>13</v>
      </c>
      <c r="I141" s="4" t="n">
        <f aca="false">E141*F141</f>
        <v>48</v>
      </c>
      <c r="J141" s="0" t="str">
        <f aca="false">TEXT(B141,"yyyy-mm")</f>
        <v>2026-06</v>
      </c>
    </row>
    <row r="142" customFormat="false" ht="15" hidden="false" customHeight="false" outlineLevel="0" collapsed="false">
      <c r="A142" s="0" t="s">
        <v>336</v>
      </c>
      <c r="B142" s="16" t="n">
        <v>46189</v>
      </c>
      <c r="C142" s="17" t="s">
        <v>295</v>
      </c>
      <c r="D142" s="17" t="s">
        <v>338</v>
      </c>
      <c r="E142" s="0" t="n">
        <v>1</v>
      </c>
      <c r="F142" s="4" t="n">
        <v>16.5</v>
      </c>
      <c r="G142" s="17" t="s">
        <v>18</v>
      </c>
      <c r="H142" s="17" t="s">
        <v>12</v>
      </c>
      <c r="I142" s="4" t="n">
        <f aca="false">E142*F142</f>
        <v>16.5</v>
      </c>
      <c r="J142" s="0" t="str">
        <f aca="false">TEXT(B142,"yyyy-mm")</f>
        <v>2026-06</v>
      </c>
    </row>
    <row r="143" customFormat="false" ht="15" hidden="false" customHeight="false" outlineLevel="0" collapsed="false">
      <c r="A143" s="0" t="s">
        <v>322</v>
      </c>
      <c r="B143" s="16" t="n">
        <v>46190</v>
      </c>
      <c r="C143" s="17" t="s">
        <v>196</v>
      </c>
      <c r="D143" s="17" t="s">
        <v>302</v>
      </c>
      <c r="E143" s="0" t="n">
        <v>1</v>
      </c>
      <c r="F143" s="4" t="n">
        <v>42</v>
      </c>
      <c r="G143" s="17" t="s">
        <v>20</v>
      </c>
      <c r="H143" s="17" t="s">
        <v>8</v>
      </c>
      <c r="I143" s="4" t="n">
        <f aca="false">E143*F143</f>
        <v>42</v>
      </c>
      <c r="J143" s="0" t="str">
        <f aca="false">TEXT(B143,"yyyy-mm")</f>
        <v>2026-06</v>
      </c>
    </row>
    <row r="144" customFormat="false" ht="15" hidden="false" customHeight="false" outlineLevel="0" collapsed="false">
      <c r="A144" s="0" t="s">
        <v>843</v>
      </c>
      <c r="B144" s="16" t="n">
        <v>46190</v>
      </c>
      <c r="C144" s="17" t="s">
        <v>368</v>
      </c>
      <c r="D144" s="17" t="s">
        <v>259</v>
      </c>
      <c r="E144" s="0" t="n">
        <v>2</v>
      </c>
      <c r="F144" s="4" t="n">
        <v>11</v>
      </c>
      <c r="G144" s="17" t="s">
        <v>17</v>
      </c>
      <c r="H144" s="17" t="s">
        <v>11</v>
      </c>
      <c r="I144" s="4" t="n">
        <f aca="false">E144*F144</f>
        <v>22</v>
      </c>
      <c r="J144" s="0" t="str">
        <f aca="false">TEXT(B144,"yyyy-mm")</f>
        <v>2026-06</v>
      </c>
    </row>
    <row r="145" customFormat="false" ht="15" hidden="false" customHeight="false" outlineLevel="0" collapsed="false">
      <c r="A145" s="0" t="s">
        <v>186</v>
      </c>
      <c r="B145" s="16" t="n">
        <v>46191</v>
      </c>
      <c r="C145" s="17" t="s">
        <v>188</v>
      </c>
      <c r="D145" s="17" t="s">
        <v>312</v>
      </c>
      <c r="E145" s="0" t="n">
        <v>3</v>
      </c>
      <c r="F145" s="4" t="n">
        <v>9.5</v>
      </c>
      <c r="G145" s="17" t="s">
        <v>17</v>
      </c>
      <c r="H145" s="17" t="s">
        <v>13</v>
      </c>
      <c r="I145" s="4" t="n">
        <f aca="false">E145*F145</f>
        <v>28.5</v>
      </c>
      <c r="J145" s="0" t="str">
        <f aca="false">TEXT(B145,"yyyy-mm")</f>
        <v>2026-06</v>
      </c>
    </row>
    <row r="146" customFormat="false" ht="15" hidden="false" customHeight="false" outlineLevel="0" collapsed="false">
      <c r="A146" s="0" t="s">
        <v>626</v>
      </c>
      <c r="B146" s="16" t="n">
        <v>46191</v>
      </c>
      <c r="C146" s="17" t="s">
        <v>133</v>
      </c>
      <c r="D146" s="17" t="s">
        <v>93</v>
      </c>
      <c r="E146" s="0" t="n">
        <v>2</v>
      </c>
      <c r="F146" s="4" t="n">
        <v>17</v>
      </c>
      <c r="G146" s="17" t="s">
        <v>18</v>
      </c>
      <c r="H146" s="17" t="s">
        <v>10</v>
      </c>
      <c r="I146" s="4" t="n">
        <f aca="false">E146*F146</f>
        <v>34</v>
      </c>
      <c r="J146" s="0" t="str">
        <f aca="false">TEXT(B146,"yyyy-mm")</f>
        <v>2026-06</v>
      </c>
    </row>
    <row r="147" customFormat="false" ht="15" hidden="false" customHeight="false" outlineLevel="0" collapsed="false">
      <c r="A147" s="0" t="s">
        <v>656</v>
      </c>
      <c r="B147" s="16" t="n">
        <v>46192</v>
      </c>
      <c r="C147" s="17" t="s">
        <v>238</v>
      </c>
      <c r="D147" s="17" t="s">
        <v>229</v>
      </c>
      <c r="E147" s="0" t="n">
        <v>4</v>
      </c>
      <c r="F147" s="4" t="n">
        <v>31.5</v>
      </c>
      <c r="G147" s="17" t="s">
        <v>17</v>
      </c>
      <c r="H147" s="17" t="s">
        <v>9</v>
      </c>
      <c r="I147" s="4" t="n">
        <f aca="false">E147*F147</f>
        <v>126</v>
      </c>
      <c r="J147" s="0" t="str">
        <f aca="false">TEXT(B147,"yyyy-mm")</f>
        <v>2026-06</v>
      </c>
    </row>
    <row r="148" customFormat="false" ht="15" hidden="false" customHeight="false" outlineLevel="0" collapsed="false">
      <c r="A148" s="0" t="s">
        <v>718</v>
      </c>
      <c r="B148" s="16" t="n">
        <v>46193</v>
      </c>
      <c r="C148" s="17" t="s">
        <v>267</v>
      </c>
      <c r="D148" s="17" t="s">
        <v>177</v>
      </c>
      <c r="E148" s="0" t="n">
        <v>1</v>
      </c>
      <c r="F148" s="4" t="n">
        <v>13</v>
      </c>
      <c r="G148" s="17" t="s">
        <v>20</v>
      </c>
      <c r="H148" s="17" t="s">
        <v>12</v>
      </c>
      <c r="I148" s="4" t="n">
        <f aca="false">E148*F148</f>
        <v>13</v>
      </c>
      <c r="J148" s="0" t="str">
        <f aca="false">TEXT(B148,"yyyy-mm")</f>
        <v>2026-06</v>
      </c>
    </row>
    <row r="149" customFormat="false" ht="15" hidden="false" customHeight="false" outlineLevel="0" collapsed="false">
      <c r="A149" s="0" t="s">
        <v>304</v>
      </c>
      <c r="B149" s="16" t="n">
        <v>46194</v>
      </c>
      <c r="C149" s="17" t="s">
        <v>45</v>
      </c>
      <c r="D149" s="17" t="s">
        <v>198</v>
      </c>
      <c r="E149" s="0" t="n">
        <v>3</v>
      </c>
      <c r="F149" s="4" t="n">
        <v>29</v>
      </c>
      <c r="G149" s="17" t="s">
        <v>18</v>
      </c>
      <c r="H149" s="17" t="s">
        <v>11</v>
      </c>
      <c r="I149" s="4" t="n">
        <f aca="false">E149*F149</f>
        <v>87</v>
      </c>
      <c r="J149" s="0" t="str">
        <f aca="false">TEXT(B149,"yyyy-mm")</f>
        <v>2026-06</v>
      </c>
    </row>
    <row r="150" customFormat="false" ht="15" hidden="false" customHeight="false" outlineLevel="0" collapsed="false">
      <c r="A150" s="0" t="s">
        <v>380</v>
      </c>
      <c r="B150" s="16" t="n">
        <v>46196</v>
      </c>
      <c r="C150" s="17" t="s">
        <v>382</v>
      </c>
      <c r="D150" s="17" t="s">
        <v>282</v>
      </c>
      <c r="E150" s="0" t="n">
        <v>1</v>
      </c>
      <c r="F150" s="4" t="n">
        <v>34</v>
      </c>
      <c r="G150" s="17" t="s">
        <v>20</v>
      </c>
      <c r="H150" s="17" t="s">
        <v>8</v>
      </c>
      <c r="I150" s="4" t="n">
        <f aca="false">E150*F150</f>
        <v>34</v>
      </c>
      <c r="J150" s="0" t="str">
        <f aca="false">TEXT(B150,"yyyy-mm")</f>
        <v>2026-06</v>
      </c>
    </row>
    <row r="151" customFormat="false" ht="15" hidden="false" customHeight="false" outlineLevel="0" collapsed="false">
      <c r="A151" s="0" t="s">
        <v>777</v>
      </c>
      <c r="B151" s="16" t="n">
        <v>46196</v>
      </c>
      <c r="C151" s="17" t="s">
        <v>83</v>
      </c>
      <c r="D151" s="17" t="s">
        <v>289</v>
      </c>
      <c r="E151" s="0" t="n">
        <v>1</v>
      </c>
      <c r="F151" s="4" t="n">
        <v>21</v>
      </c>
      <c r="G151" s="17" t="s">
        <v>18</v>
      </c>
      <c r="H151" s="17" t="s">
        <v>10</v>
      </c>
      <c r="I151" s="4" t="n">
        <f aca="false">E151*F151</f>
        <v>21</v>
      </c>
      <c r="J151" s="0" t="str">
        <f aca="false">TEXT(B151,"yyyy-mm")</f>
        <v>2026-06</v>
      </c>
    </row>
    <row r="152" customFormat="false" ht="15" hidden="false" customHeight="false" outlineLevel="0" collapsed="false">
      <c r="A152" s="0" t="s">
        <v>366</v>
      </c>
      <c r="B152" s="16" t="n">
        <v>46197</v>
      </c>
      <c r="C152" s="17" t="s">
        <v>368</v>
      </c>
      <c r="D152" s="17" t="s">
        <v>369</v>
      </c>
      <c r="E152" s="0" t="n">
        <v>1</v>
      </c>
      <c r="F152" s="4" t="n">
        <v>12</v>
      </c>
      <c r="G152" s="17" t="s">
        <v>18</v>
      </c>
      <c r="H152" s="17" t="s">
        <v>13</v>
      </c>
      <c r="I152" s="4" t="n">
        <f aca="false">E152*F152</f>
        <v>12</v>
      </c>
      <c r="J152" s="0" t="str">
        <f aca="false">TEXT(B152,"yyyy-mm")</f>
        <v>2026-06</v>
      </c>
    </row>
    <row r="153" customFormat="false" ht="15" hidden="false" customHeight="false" outlineLevel="0" collapsed="false">
      <c r="A153" s="0" t="s">
        <v>555</v>
      </c>
      <c r="B153" s="16" t="n">
        <v>46197</v>
      </c>
      <c r="C153" s="17" t="s">
        <v>196</v>
      </c>
      <c r="D153" s="17" t="s">
        <v>36</v>
      </c>
      <c r="E153" s="0" t="n">
        <v>3</v>
      </c>
      <c r="F153" s="4" t="n">
        <v>13.5</v>
      </c>
      <c r="G153" s="17" t="s">
        <v>19</v>
      </c>
      <c r="H153" s="17" t="s">
        <v>11</v>
      </c>
      <c r="I153" s="4" t="n">
        <f aca="false">E153*F153</f>
        <v>40.5</v>
      </c>
      <c r="J153" s="0" t="str">
        <f aca="false">TEXT(B153,"yyyy-mm")</f>
        <v>2026-06</v>
      </c>
    </row>
    <row r="154" customFormat="false" ht="15" hidden="false" customHeight="false" outlineLevel="0" collapsed="false">
      <c r="A154" s="0" t="s">
        <v>727</v>
      </c>
      <c r="B154" s="16" t="n">
        <v>46198</v>
      </c>
      <c r="C154" s="17" t="s">
        <v>333</v>
      </c>
      <c r="D154" s="17" t="s">
        <v>299</v>
      </c>
      <c r="E154" s="0" t="n">
        <v>2</v>
      </c>
      <c r="F154" s="4" t="n">
        <v>62</v>
      </c>
      <c r="G154" s="17" t="s">
        <v>19</v>
      </c>
      <c r="H154" s="17" t="s">
        <v>11</v>
      </c>
      <c r="I154" s="4" t="n">
        <f aca="false">E154*F154</f>
        <v>124</v>
      </c>
      <c r="J154" s="0" t="str">
        <f aca="false">TEXT(B154,"yyyy-mm")</f>
        <v>2026-06</v>
      </c>
    </row>
    <row r="155" customFormat="false" ht="15" hidden="false" customHeight="false" outlineLevel="0" collapsed="false">
      <c r="A155" s="0" t="s">
        <v>641</v>
      </c>
      <c r="B155" s="16" t="n">
        <v>46199</v>
      </c>
      <c r="C155" s="17" t="s">
        <v>228</v>
      </c>
      <c r="D155" s="17" t="s">
        <v>198</v>
      </c>
      <c r="E155" s="0" t="n">
        <v>3</v>
      </c>
      <c r="F155" s="4" t="n">
        <v>29</v>
      </c>
      <c r="G155" s="17" t="s">
        <v>17</v>
      </c>
      <c r="H155" s="17" t="s">
        <v>11</v>
      </c>
      <c r="I155" s="4" t="n">
        <f aca="false">E155*F155</f>
        <v>87</v>
      </c>
      <c r="J155" s="0" t="str">
        <f aca="false">TEXT(B155,"yyyy-mm")</f>
        <v>2026-06</v>
      </c>
    </row>
    <row r="156" customFormat="false" ht="15" hidden="false" customHeight="false" outlineLevel="0" collapsed="false">
      <c r="A156" s="0" t="s">
        <v>342</v>
      </c>
      <c r="B156" s="16" t="n">
        <v>46200</v>
      </c>
      <c r="C156" s="17" t="s">
        <v>250</v>
      </c>
      <c r="D156" s="17" t="s">
        <v>204</v>
      </c>
      <c r="E156" s="0" t="n">
        <v>2</v>
      </c>
      <c r="F156" s="4" t="n">
        <v>39</v>
      </c>
      <c r="G156" s="17" t="s">
        <v>17</v>
      </c>
      <c r="H156" s="17" t="s">
        <v>9</v>
      </c>
      <c r="I156" s="4" t="n">
        <f aca="false">E156*F156</f>
        <v>78</v>
      </c>
      <c r="J156" s="0" t="str">
        <f aca="false">TEXT(B156,"yyyy-mm")</f>
        <v>2026-06</v>
      </c>
    </row>
    <row r="157" customFormat="false" ht="15" hidden="false" customHeight="false" outlineLevel="0" collapsed="false">
      <c r="A157" s="0" t="s">
        <v>95</v>
      </c>
      <c r="B157" s="16" t="n">
        <v>46201</v>
      </c>
      <c r="C157" s="17" t="s">
        <v>30</v>
      </c>
      <c r="D157" s="17" t="s">
        <v>97</v>
      </c>
      <c r="E157" s="0" t="n">
        <v>1</v>
      </c>
      <c r="F157" s="4" t="n">
        <v>8.99</v>
      </c>
      <c r="G157" s="17" t="s">
        <v>19</v>
      </c>
      <c r="H157" s="17" t="s">
        <v>10</v>
      </c>
      <c r="I157" s="4" t="n">
        <f aca="false">E157*F157</f>
        <v>8.99</v>
      </c>
      <c r="J157" s="0" t="str">
        <f aca="false">TEXT(B157,"yyyy-mm")</f>
        <v>2026-06</v>
      </c>
    </row>
    <row r="158" customFormat="false" ht="15" hidden="false" customHeight="false" outlineLevel="0" collapsed="false">
      <c r="A158" s="0" t="s">
        <v>666</v>
      </c>
      <c r="B158" s="16" t="n">
        <v>46201</v>
      </c>
      <c r="C158" s="17" t="s">
        <v>106</v>
      </c>
      <c r="D158" s="17" t="s">
        <v>129</v>
      </c>
      <c r="E158" s="0" t="n">
        <v>3</v>
      </c>
      <c r="F158" s="4" t="n">
        <v>11.99</v>
      </c>
      <c r="G158" s="17" t="s">
        <v>19</v>
      </c>
      <c r="H158" s="17" t="s">
        <v>13</v>
      </c>
      <c r="I158" s="4" t="n">
        <f aca="false">E158*F158</f>
        <v>35.97</v>
      </c>
      <c r="J158" s="0" t="str">
        <f aca="false">TEXT(B158,"yyyy-mm")</f>
        <v>2026-06</v>
      </c>
    </row>
    <row r="159" customFormat="false" ht="15" hidden="false" customHeight="false" outlineLevel="0" collapsed="false">
      <c r="A159" s="0" t="s">
        <v>768</v>
      </c>
      <c r="B159" s="16" t="n">
        <v>46201</v>
      </c>
      <c r="C159" s="17" t="s">
        <v>243</v>
      </c>
      <c r="D159" s="17" t="s">
        <v>102</v>
      </c>
      <c r="E159" s="0" t="n">
        <v>3</v>
      </c>
      <c r="F159" s="4" t="n">
        <v>7.5</v>
      </c>
      <c r="G159" s="17" t="s">
        <v>17</v>
      </c>
      <c r="H159" s="17" t="s">
        <v>12</v>
      </c>
      <c r="I159" s="4" t="n">
        <f aca="false">E159*F159</f>
        <v>22.5</v>
      </c>
      <c r="J159" s="0" t="str">
        <f aca="false">TEXT(B159,"yyyy-mm")</f>
        <v>2026-06</v>
      </c>
    </row>
    <row r="160" customFormat="false" ht="15" hidden="false" customHeight="false" outlineLevel="0" collapsed="false">
      <c r="A160" s="0" t="s">
        <v>206</v>
      </c>
      <c r="B160" s="16" t="n">
        <v>46203</v>
      </c>
      <c r="C160" s="17" t="s">
        <v>196</v>
      </c>
      <c r="D160" s="17" t="s">
        <v>80</v>
      </c>
      <c r="E160" s="0" t="n">
        <v>3</v>
      </c>
      <c r="F160" s="4" t="n">
        <v>27.99</v>
      </c>
      <c r="G160" s="17" t="s">
        <v>20</v>
      </c>
      <c r="H160" s="17" t="s">
        <v>8</v>
      </c>
      <c r="I160" s="4" t="n">
        <f aca="false">E160*F160</f>
        <v>83.97</v>
      </c>
      <c r="J160" s="0" t="str">
        <f aca="false">TEXT(B160,"yyyy-mm")</f>
        <v>2026-06</v>
      </c>
    </row>
    <row r="161" customFormat="false" ht="15" hidden="false" customHeight="false" outlineLevel="0" collapsed="false">
      <c r="A161" s="0" t="s">
        <v>314</v>
      </c>
      <c r="B161" s="16" t="n">
        <v>46204</v>
      </c>
      <c r="C161" s="17" t="s">
        <v>83</v>
      </c>
      <c r="D161" s="17" t="s">
        <v>220</v>
      </c>
      <c r="E161" s="0" t="n">
        <v>2</v>
      </c>
      <c r="F161" s="4" t="n">
        <v>18.5</v>
      </c>
      <c r="G161" s="17" t="s">
        <v>20</v>
      </c>
      <c r="H161" s="17" t="s">
        <v>8</v>
      </c>
      <c r="I161" s="4" t="n">
        <f aca="false">E161*F161</f>
        <v>37</v>
      </c>
      <c r="J161" s="0" t="str">
        <f aca="false">TEXT(B161,"yyyy-mm")</f>
        <v>2026-07</v>
      </c>
    </row>
    <row r="162" customFormat="false" ht="15" hidden="false" customHeight="false" outlineLevel="0" collapsed="false">
      <c r="A162" s="0" t="s">
        <v>593</v>
      </c>
      <c r="B162" s="16" t="n">
        <v>46204</v>
      </c>
      <c r="C162" s="17" t="s">
        <v>238</v>
      </c>
      <c r="D162" s="17" t="s">
        <v>220</v>
      </c>
      <c r="E162" s="0" t="n">
        <v>4</v>
      </c>
      <c r="F162" s="4" t="n">
        <v>18.5</v>
      </c>
      <c r="G162" s="17" t="s">
        <v>18</v>
      </c>
      <c r="H162" s="17" t="s">
        <v>8</v>
      </c>
      <c r="I162" s="4" t="n">
        <f aca="false">E162*F162</f>
        <v>74</v>
      </c>
      <c r="J162" s="0" t="str">
        <f aca="false">TEXT(B162,"yyyy-mm")</f>
        <v>2026-07</v>
      </c>
    </row>
    <row r="163" customFormat="false" ht="15" hidden="false" customHeight="false" outlineLevel="0" collapsed="false">
      <c r="A163" s="0" t="s">
        <v>637</v>
      </c>
      <c r="B163" s="16" t="n">
        <v>46206</v>
      </c>
      <c r="C163" s="17" t="s">
        <v>55</v>
      </c>
      <c r="D163" s="17" t="s">
        <v>46</v>
      </c>
      <c r="E163" s="0" t="n">
        <v>3</v>
      </c>
      <c r="F163" s="4" t="n">
        <v>9.99</v>
      </c>
      <c r="G163" s="17" t="s">
        <v>20</v>
      </c>
      <c r="H163" s="17" t="s">
        <v>8</v>
      </c>
      <c r="I163" s="4" t="n">
        <f aca="false">E163*F163</f>
        <v>29.97</v>
      </c>
      <c r="J163" s="0" t="str">
        <f aca="false">TEXT(B163,"yyyy-mm")</f>
        <v>2026-07</v>
      </c>
    </row>
    <row r="164" customFormat="false" ht="15" hidden="false" customHeight="false" outlineLevel="0" collapsed="false">
      <c r="A164" s="0" t="s">
        <v>647</v>
      </c>
      <c r="B164" s="16" t="n">
        <v>46206</v>
      </c>
      <c r="C164" s="17" t="s">
        <v>109</v>
      </c>
      <c r="D164" s="17" t="s">
        <v>220</v>
      </c>
      <c r="E164" s="0" t="n">
        <v>4</v>
      </c>
      <c r="F164" s="4" t="n">
        <v>18.5</v>
      </c>
      <c r="G164" s="17" t="s">
        <v>19</v>
      </c>
      <c r="H164" s="17" t="s">
        <v>8</v>
      </c>
      <c r="I164" s="4" t="n">
        <f aca="false">E164*F164</f>
        <v>74</v>
      </c>
      <c r="J164" s="0" t="str">
        <f aca="false">TEXT(B164,"yyyy-mm")</f>
        <v>2026-07</v>
      </c>
    </row>
    <row r="165" customFormat="false" ht="15" hidden="false" customHeight="false" outlineLevel="0" collapsed="false">
      <c r="A165" s="0" t="s">
        <v>611</v>
      </c>
      <c r="B165" s="16" t="n">
        <v>46207</v>
      </c>
      <c r="C165" s="17" t="s">
        <v>196</v>
      </c>
      <c r="D165" s="17" t="s">
        <v>213</v>
      </c>
      <c r="E165" s="0" t="n">
        <v>1</v>
      </c>
      <c r="F165" s="4" t="n">
        <v>24.99</v>
      </c>
      <c r="G165" s="17" t="s">
        <v>19</v>
      </c>
      <c r="H165" s="17" t="s">
        <v>10</v>
      </c>
      <c r="I165" s="4" t="n">
        <f aca="false">E165*F165</f>
        <v>24.99</v>
      </c>
      <c r="J165" s="0" t="str">
        <f aca="false">TEXT(B165,"yyyy-mm")</f>
        <v>2026-07</v>
      </c>
    </row>
    <row r="166" customFormat="false" ht="15" hidden="false" customHeight="false" outlineLevel="0" collapsed="false">
      <c r="A166" s="0" t="s">
        <v>688</v>
      </c>
      <c r="B166" s="16" t="n">
        <v>46207</v>
      </c>
      <c r="C166" s="17" t="s">
        <v>40</v>
      </c>
      <c r="D166" s="17" t="s">
        <v>229</v>
      </c>
      <c r="E166" s="0" t="n">
        <v>4</v>
      </c>
      <c r="F166" s="4" t="n">
        <v>31.5</v>
      </c>
      <c r="G166" s="17" t="s">
        <v>18</v>
      </c>
      <c r="H166" s="17" t="s">
        <v>9</v>
      </c>
      <c r="I166" s="4" t="n">
        <f aca="false">E166*F166</f>
        <v>126</v>
      </c>
      <c r="J166" s="0" t="str">
        <f aca="false">TEXT(B166,"yyyy-mm")</f>
        <v>2026-07</v>
      </c>
    </row>
    <row r="167" customFormat="false" ht="15" hidden="false" customHeight="false" outlineLevel="0" collapsed="false">
      <c r="A167" s="0" t="s">
        <v>433</v>
      </c>
      <c r="B167" s="16" t="n">
        <v>46208</v>
      </c>
      <c r="C167" s="17" t="s">
        <v>435</v>
      </c>
      <c r="D167" s="17" t="s">
        <v>373</v>
      </c>
      <c r="E167" s="0" t="n">
        <v>2</v>
      </c>
      <c r="F167" s="4" t="n">
        <v>19.99</v>
      </c>
      <c r="G167" s="17" t="s">
        <v>19</v>
      </c>
      <c r="H167" s="17" t="s">
        <v>12</v>
      </c>
      <c r="I167" s="4" t="n">
        <f aca="false">E167*F167</f>
        <v>39.98</v>
      </c>
      <c r="J167" s="0" t="str">
        <f aca="false">TEXT(B167,"yyyy-mm")</f>
        <v>2026-07</v>
      </c>
    </row>
    <row r="168" customFormat="false" ht="15" hidden="false" customHeight="false" outlineLevel="0" collapsed="false">
      <c r="A168" s="0" t="s">
        <v>815</v>
      </c>
      <c r="B168" s="16" t="n">
        <v>46208</v>
      </c>
      <c r="C168" s="17" t="s">
        <v>333</v>
      </c>
      <c r="D168" s="17" t="s">
        <v>93</v>
      </c>
      <c r="E168" s="0" t="n">
        <v>3</v>
      </c>
      <c r="F168" s="4" t="n">
        <v>17</v>
      </c>
      <c r="G168" s="17" t="s">
        <v>18</v>
      </c>
      <c r="H168" s="17" t="s">
        <v>10</v>
      </c>
      <c r="I168" s="4" t="n">
        <f aca="false">E168*F168</f>
        <v>51</v>
      </c>
      <c r="J168" s="0" t="str">
        <f aca="false">TEXT(B168,"yyyy-mm")</f>
        <v>2026-07</v>
      </c>
    </row>
    <row r="169" customFormat="false" ht="15" hidden="false" customHeight="false" outlineLevel="0" collapsed="false">
      <c r="A169" s="0" t="s">
        <v>783</v>
      </c>
      <c r="B169" s="16" t="n">
        <v>46209</v>
      </c>
      <c r="C169" s="17" t="s">
        <v>577</v>
      </c>
      <c r="D169" s="17" t="s">
        <v>373</v>
      </c>
      <c r="E169" s="0" t="n">
        <v>4</v>
      </c>
      <c r="F169" s="4" t="n">
        <v>19.99</v>
      </c>
      <c r="G169" s="17" t="s">
        <v>19</v>
      </c>
      <c r="H169" s="17" t="s">
        <v>12</v>
      </c>
      <c r="I169" s="4" t="n">
        <f aca="false">E169*F169</f>
        <v>79.96</v>
      </c>
      <c r="J169" s="0" t="str">
        <f aca="false">TEXT(B169,"yyyy-mm")</f>
        <v>2026-07</v>
      </c>
    </row>
    <row r="170" customFormat="false" ht="15" hidden="false" customHeight="false" outlineLevel="0" collapsed="false">
      <c r="A170" s="0" t="s">
        <v>796</v>
      </c>
      <c r="B170" s="16" t="n">
        <v>46209</v>
      </c>
      <c r="C170" s="17" t="s">
        <v>509</v>
      </c>
      <c r="D170" s="17" t="s">
        <v>239</v>
      </c>
      <c r="E170" s="0" t="n">
        <v>2</v>
      </c>
      <c r="F170" s="4" t="n">
        <v>14.99</v>
      </c>
      <c r="G170" s="17" t="s">
        <v>20</v>
      </c>
      <c r="H170" s="17" t="s">
        <v>11</v>
      </c>
      <c r="I170" s="4" t="n">
        <f aca="false">E170*F170</f>
        <v>29.98</v>
      </c>
      <c r="J170" s="0" t="str">
        <f aca="false">TEXT(B170,"yyyy-mm")</f>
        <v>2026-07</v>
      </c>
    </row>
    <row r="171" customFormat="false" ht="15" hidden="false" customHeight="false" outlineLevel="0" collapsed="false">
      <c r="A171" s="0" t="s">
        <v>844</v>
      </c>
      <c r="B171" s="16" t="n">
        <v>46209</v>
      </c>
      <c r="C171" s="17" t="s">
        <v>150</v>
      </c>
      <c r="D171" s="17" t="s">
        <v>46</v>
      </c>
      <c r="E171" s="0" t="n">
        <v>2</v>
      </c>
      <c r="F171" s="4" t="n">
        <v>9.99</v>
      </c>
      <c r="G171" s="17" t="s">
        <v>20</v>
      </c>
      <c r="H171" s="17" t="s">
        <v>8</v>
      </c>
      <c r="I171" s="4" t="n">
        <f aca="false">E171*F171</f>
        <v>19.98</v>
      </c>
      <c r="J171" s="0" t="str">
        <f aca="false">TEXT(B171,"yyyy-mm")</f>
        <v>2026-07</v>
      </c>
    </row>
    <row r="172" customFormat="false" ht="15" hidden="false" customHeight="false" outlineLevel="0" collapsed="false">
      <c r="A172" s="0" t="s">
        <v>573</v>
      </c>
      <c r="B172" s="16" t="n">
        <v>46210</v>
      </c>
      <c r="C172" s="17" t="s">
        <v>188</v>
      </c>
      <c r="D172" s="17" t="s">
        <v>36</v>
      </c>
      <c r="E172" s="0" t="n">
        <v>1</v>
      </c>
      <c r="F172" s="4" t="n">
        <v>13.5</v>
      </c>
      <c r="G172" s="17" t="s">
        <v>18</v>
      </c>
      <c r="H172" s="17" t="s">
        <v>11</v>
      </c>
      <c r="I172" s="4" t="n">
        <f aca="false">E172*F172</f>
        <v>13.5</v>
      </c>
      <c r="J172" s="0" t="str">
        <f aca="false">TEXT(B172,"yyyy-mm")</f>
        <v>2026-07</v>
      </c>
    </row>
    <row r="173" customFormat="false" ht="15" hidden="false" customHeight="false" outlineLevel="0" collapsed="false">
      <c r="A173" s="0" t="s">
        <v>699</v>
      </c>
      <c r="B173" s="16" t="n">
        <v>46211</v>
      </c>
      <c r="C173" s="17" t="s">
        <v>118</v>
      </c>
      <c r="D173" s="17" t="s">
        <v>93</v>
      </c>
      <c r="E173" s="0" t="n">
        <v>2</v>
      </c>
      <c r="F173" s="4" t="n">
        <v>17</v>
      </c>
      <c r="G173" s="17" t="s">
        <v>17</v>
      </c>
      <c r="H173" s="17" t="s">
        <v>10</v>
      </c>
      <c r="I173" s="4" t="n">
        <f aca="false">E173*F173</f>
        <v>34</v>
      </c>
      <c r="J173" s="0" t="str">
        <f aca="false">TEXT(B173,"yyyy-mm")</f>
        <v>2026-07</v>
      </c>
    </row>
    <row r="174" customFormat="false" ht="15" hidden="false" customHeight="false" outlineLevel="0" collapsed="false">
      <c r="A174" s="0" t="s">
        <v>825</v>
      </c>
      <c r="B174" s="16" t="n">
        <v>46211</v>
      </c>
      <c r="C174" s="17" t="s">
        <v>362</v>
      </c>
      <c r="D174" s="17" t="s">
        <v>93</v>
      </c>
      <c r="E174" s="0" t="n">
        <v>1</v>
      </c>
      <c r="F174" s="4" t="n">
        <v>17</v>
      </c>
      <c r="G174" s="17" t="s">
        <v>18</v>
      </c>
      <c r="H174" s="17" t="s">
        <v>10</v>
      </c>
      <c r="I174" s="4" t="n">
        <f aca="false">E174*F174</f>
        <v>17</v>
      </c>
      <c r="J174" s="0" t="str">
        <f aca="false">TEXT(B174,"yyyy-mm")</f>
        <v>2026-07</v>
      </c>
    </row>
    <row r="175" customFormat="false" ht="15" hidden="false" customHeight="false" outlineLevel="0" collapsed="false">
      <c r="A175" s="0" t="s">
        <v>830</v>
      </c>
      <c r="B175" s="16" t="n">
        <v>46211</v>
      </c>
      <c r="C175" s="17" t="s">
        <v>109</v>
      </c>
      <c r="D175" s="17" t="s">
        <v>46</v>
      </c>
      <c r="E175" s="0" t="n">
        <v>2</v>
      </c>
      <c r="F175" s="4" t="n">
        <v>9.99</v>
      </c>
      <c r="G175" s="17" t="s">
        <v>17</v>
      </c>
      <c r="H175" s="17" t="s">
        <v>8</v>
      </c>
      <c r="I175" s="4" t="n">
        <f aca="false">E175*F175</f>
        <v>19.98</v>
      </c>
      <c r="J175" s="0" t="str">
        <f aca="false">TEXT(B175,"yyyy-mm")</f>
        <v>2026-07</v>
      </c>
    </row>
    <row r="176" customFormat="false" ht="15" hidden="false" customHeight="false" outlineLevel="0" collapsed="false">
      <c r="A176" s="0" t="s">
        <v>697</v>
      </c>
      <c r="B176" s="16" t="n">
        <v>46212</v>
      </c>
      <c r="C176" s="17" t="s">
        <v>92</v>
      </c>
      <c r="D176" s="17" t="s">
        <v>239</v>
      </c>
      <c r="E176" s="0" t="n">
        <v>2</v>
      </c>
      <c r="F176" s="4" t="n">
        <v>14.99</v>
      </c>
      <c r="G176" s="17" t="s">
        <v>17</v>
      </c>
      <c r="H176" s="17" t="s">
        <v>11</v>
      </c>
      <c r="I176" s="4" t="n">
        <f aca="false">E176*F176</f>
        <v>29.98</v>
      </c>
      <c r="J176" s="0" t="str">
        <f aca="false">TEXT(B176,"yyyy-mm")</f>
        <v>2026-07</v>
      </c>
    </row>
    <row r="177" customFormat="false" ht="15" hidden="false" customHeight="false" outlineLevel="0" collapsed="false">
      <c r="A177" s="0" t="s">
        <v>704</v>
      </c>
      <c r="B177" s="16" t="n">
        <v>46212</v>
      </c>
      <c r="C177" s="17" t="s">
        <v>295</v>
      </c>
      <c r="D177" s="17" t="s">
        <v>312</v>
      </c>
      <c r="E177" s="0" t="n">
        <v>4</v>
      </c>
      <c r="F177" s="4" t="n">
        <v>9.5</v>
      </c>
      <c r="G177" s="17" t="s">
        <v>20</v>
      </c>
      <c r="H177" s="17" t="s">
        <v>13</v>
      </c>
      <c r="I177" s="4" t="n">
        <f aca="false">E177*F177</f>
        <v>38</v>
      </c>
      <c r="J177" s="0" t="str">
        <f aca="false">TEXT(B177,"yyyy-mm")</f>
        <v>2026-07</v>
      </c>
    </row>
    <row r="178" customFormat="false" ht="15" hidden="false" customHeight="false" outlineLevel="0" collapsed="false">
      <c r="A178" s="0" t="s">
        <v>742</v>
      </c>
      <c r="B178" s="16" t="n">
        <v>46213</v>
      </c>
      <c r="C178" s="17" t="s">
        <v>174</v>
      </c>
      <c r="D178" s="17" t="s">
        <v>84</v>
      </c>
      <c r="E178" s="0" t="n">
        <v>1</v>
      </c>
      <c r="F178" s="4" t="n">
        <v>28</v>
      </c>
      <c r="G178" s="17" t="s">
        <v>19</v>
      </c>
      <c r="H178" s="17" t="s">
        <v>9</v>
      </c>
      <c r="I178" s="4" t="n">
        <f aca="false">E178*F178</f>
        <v>28</v>
      </c>
      <c r="J178" s="0" t="str">
        <f aca="false">TEXT(B178,"yyyy-mm")</f>
        <v>2026-07</v>
      </c>
    </row>
    <row r="179" customFormat="false" ht="15" hidden="false" customHeight="false" outlineLevel="0" collapsed="false">
      <c r="A179" s="0" t="s">
        <v>493</v>
      </c>
      <c r="B179" s="16" t="n">
        <v>46214</v>
      </c>
      <c r="C179" s="17" t="s">
        <v>106</v>
      </c>
      <c r="D179" s="17" t="s">
        <v>282</v>
      </c>
      <c r="E179" s="0" t="n">
        <v>4</v>
      </c>
      <c r="F179" s="4" t="n">
        <v>34</v>
      </c>
      <c r="G179" s="17" t="s">
        <v>20</v>
      </c>
      <c r="H179" s="17" t="s">
        <v>8</v>
      </c>
      <c r="I179" s="4" t="n">
        <f aca="false">E179*F179</f>
        <v>136</v>
      </c>
      <c r="J179" s="0" t="str">
        <f aca="false">TEXT(B179,"yyyy-mm")</f>
        <v>2026-07</v>
      </c>
    </row>
    <row r="180" customFormat="false" ht="15" hidden="false" customHeight="false" outlineLevel="0" collapsed="false">
      <c r="A180" s="0" t="s">
        <v>540</v>
      </c>
      <c r="B180" s="16" t="n">
        <v>46214</v>
      </c>
      <c r="C180" s="17" t="s">
        <v>114</v>
      </c>
      <c r="D180" s="17" t="s">
        <v>234</v>
      </c>
      <c r="E180" s="0" t="n">
        <v>2</v>
      </c>
      <c r="F180" s="4" t="n">
        <v>59.99</v>
      </c>
      <c r="G180" s="17" t="s">
        <v>17</v>
      </c>
      <c r="H180" s="17" t="s">
        <v>8</v>
      </c>
      <c r="I180" s="4" t="n">
        <f aca="false">E180*F180</f>
        <v>119.98</v>
      </c>
      <c r="J180" s="0" t="str">
        <f aca="false">TEXT(B180,"yyyy-mm")</f>
        <v>2026-07</v>
      </c>
    </row>
    <row r="181" customFormat="false" ht="15" hidden="false" customHeight="false" outlineLevel="0" collapsed="false">
      <c r="A181" s="0" t="s">
        <v>664</v>
      </c>
      <c r="B181" s="16" t="n">
        <v>46214</v>
      </c>
      <c r="C181" s="17" t="s">
        <v>137</v>
      </c>
      <c r="D181" s="17" t="s">
        <v>170</v>
      </c>
      <c r="E181" s="0" t="n">
        <v>2</v>
      </c>
      <c r="F181" s="4" t="n">
        <v>36</v>
      </c>
      <c r="G181" s="17" t="s">
        <v>18</v>
      </c>
      <c r="H181" s="17" t="s">
        <v>10</v>
      </c>
      <c r="I181" s="4" t="n">
        <f aca="false">E181*F181</f>
        <v>72</v>
      </c>
      <c r="J181" s="0" t="str">
        <f aca="false">TEXT(B181,"yyyy-mm")</f>
        <v>2026-07</v>
      </c>
    </row>
    <row r="182" customFormat="false" ht="15" hidden="false" customHeight="false" outlineLevel="0" collapsed="false">
      <c r="A182" s="0" t="s">
        <v>754</v>
      </c>
      <c r="B182" s="16" t="n">
        <v>46214</v>
      </c>
      <c r="C182" s="17" t="s">
        <v>114</v>
      </c>
      <c r="D182" s="17" t="s">
        <v>377</v>
      </c>
      <c r="E182" s="0" t="n">
        <v>3</v>
      </c>
      <c r="F182" s="4" t="n">
        <v>22</v>
      </c>
      <c r="G182" s="17" t="s">
        <v>17</v>
      </c>
      <c r="H182" s="17" t="s">
        <v>9</v>
      </c>
      <c r="I182" s="4" t="n">
        <f aca="false">E182*F182</f>
        <v>66</v>
      </c>
      <c r="J182" s="0" t="str">
        <f aca="false">TEXT(B182,"yyyy-mm")</f>
        <v>2026-07</v>
      </c>
    </row>
    <row r="183" customFormat="false" ht="15" hidden="false" customHeight="false" outlineLevel="0" collapsed="false">
      <c r="A183" s="13" t="s">
        <v>214</v>
      </c>
      <c r="B183" s="14" t="n">
        <v>46215</v>
      </c>
      <c r="C183" s="13" t="s">
        <v>60</v>
      </c>
      <c r="D183" s="13" t="s">
        <v>216</v>
      </c>
      <c r="E183" s="13" t="n">
        <v>3</v>
      </c>
      <c r="F183" s="15" t="n">
        <v>30</v>
      </c>
      <c r="G183" s="13" t="s">
        <v>20</v>
      </c>
      <c r="H183" s="13" t="s">
        <v>14</v>
      </c>
      <c r="I183" s="15" t="n">
        <f aca="false">E183*F183</f>
        <v>90</v>
      </c>
      <c r="J183" s="13" t="str">
        <f aca="false">TEXT(B183,"yyyy-mm")</f>
        <v>2026-07</v>
      </c>
    </row>
    <row r="184" customFormat="false" ht="15" hidden="false" customHeight="false" outlineLevel="0" collapsed="false">
      <c r="A184" s="0" t="s">
        <v>375</v>
      </c>
      <c r="B184" s="16" t="n">
        <v>46215</v>
      </c>
      <c r="C184" s="17" t="s">
        <v>83</v>
      </c>
      <c r="D184" s="17" t="s">
        <v>377</v>
      </c>
      <c r="E184" s="0" t="n">
        <v>4</v>
      </c>
      <c r="F184" s="4" t="n">
        <v>22</v>
      </c>
      <c r="G184" s="17" t="s">
        <v>17</v>
      </c>
      <c r="H184" s="17" t="s">
        <v>9</v>
      </c>
      <c r="I184" s="4" t="n">
        <f aca="false">E184*F184</f>
        <v>88</v>
      </c>
      <c r="J184" s="0" t="str">
        <f aca="false">TEXT(B184,"yyyy-mm")</f>
        <v>2026-07</v>
      </c>
    </row>
    <row r="185" customFormat="false" ht="15" hidden="false" customHeight="false" outlineLevel="0" collapsed="false">
      <c r="A185" s="0" t="s">
        <v>511</v>
      </c>
      <c r="B185" s="16" t="n">
        <v>46215</v>
      </c>
      <c r="C185" s="17" t="s">
        <v>250</v>
      </c>
      <c r="D185" s="17" t="s">
        <v>88</v>
      </c>
      <c r="E185" s="0" t="n">
        <v>4</v>
      </c>
      <c r="F185" s="4" t="n">
        <v>44</v>
      </c>
      <c r="G185" s="17" t="s">
        <v>19</v>
      </c>
      <c r="H185" s="17" t="s">
        <v>11</v>
      </c>
      <c r="I185" s="4" t="n">
        <f aca="false">E185*F185</f>
        <v>176</v>
      </c>
      <c r="J185" s="0" t="str">
        <f aca="false">TEXT(B185,"yyyy-mm")</f>
        <v>2026-07</v>
      </c>
    </row>
    <row r="186" customFormat="false" ht="15" hidden="false" customHeight="false" outlineLevel="0" collapsed="false">
      <c r="A186" s="0" t="s">
        <v>623</v>
      </c>
      <c r="B186" s="16" t="n">
        <v>46215</v>
      </c>
      <c r="C186" s="17" t="s">
        <v>624</v>
      </c>
      <c r="D186" s="17" t="s">
        <v>170</v>
      </c>
      <c r="E186" s="0" t="n">
        <v>1</v>
      </c>
      <c r="F186" s="4" t="n">
        <v>36</v>
      </c>
      <c r="G186" s="17" t="s">
        <v>17</v>
      </c>
      <c r="H186" s="17" t="s">
        <v>10</v>
      </c>
      <c r="I186" s="4" t="n">
        <f aca="false">E186*F186</f>
        <v>36</v>
      </c>
      <c r="J186" s="0" t="str">
        <f aca="false">TEXT(B186,"yyyy-mm")</f>
        <v>2026-07</v>
      </c>
    </row>
    <row r="187" customFormat="false" ht="15" hidden="false" customHeight="false" outlineLevel="0" collapsed="false">
      <c r="A187" s="0" t="s">
        <v>828</v>
      </c>
      <c r="B187" s="16" t="n">
        <v>46215</v>
      </c>
      <c r="C187" s="17" t="s">
        <v>228</v>
      </c>
      <c r="D187" s="17" t="s">
        <v>302</v>
      </c>
      <c r="E187" s="0" t="n">
        <v>4</v>
      </c>
      <c r="F187" s="4" t="n">
        <v>42</v>
      </c>
      <c r="G187" s="17" t="s">
        <v>17</v>
      </c>
      <c r="H187" s="17" t="s">
        <v>8</v>
      </c>
      <c r="I187" s="4" t="n">
        <f aca="false">E187*F187</f>
        <v>168</v>
      </c>
      <c r="J187" s="0" t="str">
        <f aca="false">TEXT(B187,"yyyy-mm")</f>
        <v>2026-07</v>
      </c>
    </row>
    <row r="188" customFormat="false" ht="15" hidden="false" customHeight="false" outlineLevel="0" collapsed="false">
      <c r="A188" s="0" t="s">
        <v>603</v>
      </c>
      <c r="B188" s="16" t="n">
        <v>46216</v>
      </c>
      <c r="C188" s="17" t="s">
        <v>577</v>
      </c>
      <c r="D188" s="17" t="s">
        <v>338</v>
      </c>
      <c r="E188" s="0" t="n">
        <v>1</v>
      </c>
      <c r="F188" s="4" t="n">
        <v>16.5</v>
      </c>
      <c r="G188" s="17" t="s">
        <v>17</v>
      </c>
      <c r="H188" s="17" t="s">
        <v>12</v>
      </c>
      <c r="I188" s="4" t="n">
        <f aca="false">E188*F188</f>
        <v>16.5</v>
      </c>
      <c r="J188" s="0" t="str">
        <f aca="false">TEXT(B188,"yyyy-mm")</f>
        <v>2026-07</v>
      </c>
    </row>
    <row r="189" customFormat="false" ht="15" hidden="false" customHeight="false" outlineLevel="0" collapsed="false">
      <c r="A189" s="0" t="s">
        <v>632</v>
      </c>
      <c r="B189" s="16" t="n">
        <v>46218</v>
      </c>
      <c r="C189" s="17" t="s">
        <v>256</v>
      </c>
      <c r="D189" s="17" t="s">
        <v>302</v>
      </c>
      <c r="E189" s="0" t="n">
        <v>2</v>
      </c>
      <c r="F189" s="4" t="n">
        <v>42</v>
      </c>
      <c r="G189" s="17" t="s">
        <v>20</v>
      </c>
      <c r="H189" s="17" t="s">
        <v>8</v>
      </c>
      <c r="I189" s="4" t="n">
        <f aca="false">E189*F189</f>
        <v>84</v>
      </c>
      <c r="J189" s="0" t="str">
        <f aca="false">TEXT(B189,"yyyy-mm")</f>
        <v>2026-07</v>
      </c>
    </row>
    <row r="190" customFormat="false" ht="15" hidden="false" customHeight="false" outlineLevel="0" collapsed="false">
      <c r="A190" s="0" t="s">
        <v>162</v>
      </c>
      <c r="B190" s="16" t="n">
        <v>46219</v>
      </c>
      <c r="C190" s="17" t="s">
        <v>164</v>
      </c>
      <c r="D190" s="17" t="s">
        <v>36</v>
      </c>
      <c r="E190" s="0" t="n">
        <v>1</v>
      </c>
      <c r="F190" s="4" t="n">
        <v>13.5</v>
      </c>
      <c r="G190" s="17" t="s">
        <v>20</v>
      </c>
      <c r="H190" s="17" t="s">
        <v>11</v>
      </c>
      <c r="I190" s="4" t="n">
        <f aca="false">E190*F190</f>
        <v>13.5</v>
      </c>
      <c r="J190" s="0" t="str">
        <f aca="false">TEXT(B190,"yyyy-mm")</f>
        <v>2026-07</v>
      </c>
    </row>
    <row r="191" customFormat="false" ht="15" hidden="false" customHeight="false" outlineLevel="0" collapsed="false">
      <c r="A191" s="0" t="s">
        <v>713</v>
      </c>
      <c r="B191" s="16" t="n">
        <v>46219</v>
      </c>
      <c r="C191" s="17" t="s">
        <v>109</v>
      </c>
      <c r="D191" s="17" t="s">
        <v>681</v>
      </c>
      <c r="E191" s="0" t="n">
        <v>1</v>
      </c>
      <c r="F191" s="4" t="n">
        <v>15</v>
      </c>
      <c r="G191" s="17" t="s">
        <v>18</v>
      </c>
      <c r="H191" s="17" t="s">
        <v>13</v>
      </c>
      <c r="I191" s="4" t="n">
        <f aca="false">E191*F191</f>
        <v>15</v>
      </c>
      <c r="J191" s="0" t="str">
        <f aca="false">TEXT(B191,"yyyy-mm")</f>
        <v>2026-07</v>
      </c>
    </row>
    <row r="192" customFormat="false" ht="15" hidden="false" customHeight="false" outlineLevel="0" collapsed="false">
      <c r="A192" s="0" t="s">
        <v>821</v>
      </c>
      <c r="B192" s="16" t="n">
        <v>46220</v>
      </c>
      <c r="C192" s="17" t="s">
        <v>362</v>
      </c>
      <c r="D192" s="17" t="s">
        <v>234</v>
      </c>
      <c r="E192" s="0" t="n">
        <v>2</v>
      </c>
      <c r="F192" s="4" t="n">
        <v>59.99</v>
      </c>
      <c r="G192" s="17" t="s">
        <v>19</v>
      </c>
      <c r="H192" s="17" t="s">
        <v>8</v>
      </c>
      <c r="I192" s="4" t="n">
        <f aca="false">E192*F192</f>
        <v>119.98</v>
      </c>
      <c r="J192" s="0" t="str">
        <f aca="false">TEXT(B192,"yyyy-mm")</f>
        <v>2026-07</v>
      </c>
    </row>
    <row r="193" customFormat="false" ht="15" hidden="false" customHeight="false" outlineLevel="0" collapsed="false">
      <c r="A193" s="0" t="s">
        <v>191</v>
      </c>
      <c r="B193" s="16" t="n">
        <v>46221</v>
      </c>
      <c r="C193" s="17" t="s">
        <v>123</v>
      </c>
      <c r="D193" s="17" t="s">
        <v>170</v>
      </c>
      <c r="E193" s="0" t="n">
        <v>4</v>
      </c>
      <c r="F193" s="4" t="n">
        <v>36</v>
      </c>
      <c r="G193" s="17" t="s">
        <v>18</v>
      </c>
      <c r="H193" s="17" t="s">
        <v>10</v>
      </c>
      <c r="I193" s="4" t="n">
        <f aca="false">E193*F193</f>
        <v>144</v>
      </c>
      <c r="J193" s="0" t="str">
        <f aca="false">TEXT(B193,"yyyy-mm")</f>
        <v>2026-07</v>
      </c>
    </row>
    <row r="194" customFormat="false" ht="15" hidden="false" customHeight="false" outlineLevel="0" collapsed="false">
      <c r="A194" s="0" t="s">
        <v>559</v>
      </c>
      <c r="B194" s="16" t="n">
        <v>46221</v>
      </c>
      <c r="C194" s="17" t="s">
        <v>30</v>
      </c>
      <c r="D194" s="17" t="s">
        <v>397</v>
      </c>
      <c r="E194" s="0" t="n">
        <v>2</v>
      </c>
      <c r="F194" s="4" t="n">
        <v>12.5</v>
      </c>
      <c r="G194" s="17" t="s">
        <v>17</v>
      </c>
      <c r="H194" s="17" t="s">
        <v>9</v>
      </c>
      <c r="I194" s="4" t="n">
        <f aca="false">E194*F194</f>
        <v>25</v>
      </c>
      <c r="J194" s="0" t="str">
        <f aca="false">TEXT(B194,"yyyy-mm")</f>
        <v>2026-07</v>
      </c>
    </row>
    <row r="195" customFormat="false" ht="15" hidden="false" customHeight="false" outlineLevel="0" collapsed="false">
      <c r="A195" s="0" t="s">
        <v>287</v>
      </c>
      <c r="B195" s="16" t="n">
        <v>46222</v>
      </c>
      <c r="C195" s="17" t="s">
        <v>196</v>
      </c>
      <c r="D195" s="17" t="s">
        <v>289</v>
      </c>
      <c r="E195" s="0" t="n">
        <v>3</v>
      </c>
      <c r="F195" s="4" t="n">
        <v>21</v>
      </c>
      <c r="G195" s="17" t="s">
        <v>18</v>
      </c>
      <c r="H195" s="17" t="s">
        <v>10</v>
      </c>
      <c r="I195" s="4" t="n">
        <f aca="false">E195*F195</f>
        <v>63</v>
      </c>
      <c r="J195" s="0" t="str">
        <f aca="false">TEXT(B195,"yyyy-mm")</f>
        <v>2026-07</v>
      </c>
    </row>
    <row r="196" customFormat="false" ht="15" hidden="false" customHeight="false" outlineLevel="0" collapsed="false">
      <c r="A196" s="0" t="s">
        <v>416</v>
      </c>
      <c r="B196" s="16" t="n">
        <v>46222</v>
      </c>
      <c r="C196" s="17" t="s">
        <v>159</v>
      </c>
      <c r="D196" s="17" t="s">
        <v>229</v>
      </c>
      <c r="E196" s="0" t="n">
        <v>1</v>
      </c>
      <c r="F196" s="4" t="n">
        <v>31.5</v>
      </c>
      <c r="G196" s="17" t="s">
        <v>19</v>
      </c>
      <c r="H196" s="17" t="s">
        <v>9</v>
      </c>
      <c r="I196" s="4" t="n">
        <f aca="false">E196*F196</f>
        <v>31.5</v>
      </c>
      <c r="J196" s="0" t="str">
        <f aca="false">TEXT(B196,"yyyy-mm")</f>
        <v>2026-07</v>
      </c>
    </row>
    <row r="197" customFormat="false" ht="15" hidden="false" customHeight="false" outlineLevel="0" collapsed="false">
      <c r="A197" s="0" t="s">
        <v>144</v>
      </c>
      <c r="B197" s="16" t="n">
        <v>46224</v>
      </c>
      <c r="C197" s="17" t="s">
        <v>114</v>
      </c>
      <c r="D197" s="17" t="s">
        <v>681</v>
      </c>
      <c r="E197" s="0" t="n">
        <v>3</v>
      </c>
      <c r="F197" s="4" t="n">
        <v>15</v>
      </c>
      <c r="G197" s="17" t="s">
        <v>20</v>
      </c>
      <c r="H197" s="17" t="s">
        <v>13</v>
      </c>
      <c r="I197" s="4" t="n">
        <f aca="false">E197*F197</f>
        <v>45</v>
      </c>
      <c r="J197" s="0" t="str">
        <f aca="false">TEXT(B197,"yyyy-mm")</f>
        <v>2026-07</v>
      </c>
    </row>
    <row r="198" customFormat="false" ht="15" hidden="false" customHeight="false" outlineLevel="0" collapsed="false">
      <c r="A198" s="0" t="s">
        <v>334</v>
      </c>
      <c r="B198" s="16" t="n">
        <v>46224</v>
      </c>
      <c r="C198" s="17" t="s">
        <v>74</v>
      </c>
      <c r="D198" s="17" t="s">
        <v>177</v>
      </c>
      <c r="E198" s="0" t="n">
        <v>3</v>
      </c>
      <c r="F198" s="4" t="n">
        <v>13</v>
      </c>
      <c r="G198" s="17" t="s">
        <v>19</v>
      </c>
      <c r="H198" s="17" t="s">
        <v>12</v>
      </c>
      <c r="I198" s="4" t="n">
        <f aca="false">E198*F198</f>
        <v>39</v>
      </c>
      <c r="J198" s="0" t="str">
        <f aca="false">TEXT(B198,"yyyy-mm")</f>
        <v>2026-07</v>
      </c>
    </row>
    <row r="199" customFormat="false" ht="15" hidden="false" customHeight="false" outlineLevel="0" collapsed="false">
      <c r="A199" s="0" t="s">
        <v>399</v>
      </c>
      <c r="B199" s="16" t="n">
        <v>46225</v>
      </c>
      <c r="C199" s="17" t="s">
        <v>83</v>
      </c>
      <c r="D199" s="17" t="s">
        <v>239</v>
      </c>
      <c r="E199" s="0" t="n">
        <v>4</v>
      </c>
      <c r="F199" s="4" t="n">
        <v>14.99</v>
      </c>
      <c r="G199" s="17" t="s">
        <v>20</v>
      </c>
      <c r="H199" s="17" t="s">
        <v>11</v>
      </c>
      <c r="I199" s="4" t="n">
        <f aca="false">E199*F199</f>
        <v>59.96</v>
      </c>
      <c r="J199" s="0" t="str">
        <f aca="false">TEXT(B199,"yyyy-mm")</f>
        <v>2026-07</v>
      </c>
    </row>
    <row r="200" customFormat="false" ht="15" hidden="false" customHeight="false" outlineLevel="0" collapsed="false">
      <c r="A200" s="0" t="s">
        <v>440</v>
      </c>
      <c r="B200" s="16" t="n">
        <v>46225</v>
      </c>
      <c r="C200" s="17" t="s">
        <v>35</v>
      </c>
      <c r="D200" s="17" t="s">
        <v>80</v>
      </c>
      <c r="E200" s="0" t="n">
        <v>1</v>
      </c>
      <c r="F200" s="4" t="n">
        <v>27.99</v>
      </c>
      <c r="G200" s="17" t="s">
        <v>18</v>
      </c>
      <c r="H200" s="17" t="s">
        <v>8</v>
      </c>
      <c r="I200" s="4" t="n">
        <f aca="false">E200*F200</f>
        <v>27.99</v>
      </c>
      <c r="J200" s="0" t="str">
        <f aca="false">TEXT(B200,"yyyy-mm")</f>
        <v>2026-07</v>
      </c>
    </row>
    <row r="201" customFormat="false" ht="15" hidden="false" customHeight="false" outlineLevel="0" collapsed="false">
      <c r="A201" s="0" t="s">
        <v>669</v>
      </c>
      <c r="B201" s="16" t="n">
        <v>46225</v>
      </c>
      <c r="C201" s="17" t="s">
        <v>435</v>
      </c>
      <c r="D201" s="17" t="s">
        <v>397</v>
      </c>
      <c r="E201" s="0" t="n">
        <v>2</v>
      </c>
      <c r="F201" s="4" t="n">
        <v>12.5</v>
      </c>
      <c r="G201" s="17" t="s">
        <v>20</v>
      </c>
      <c r="H201" s="17" t="s">
        <v>9</v>
      </c>
      <c r="I201" s="4" t="n">
        <f aca="false">E201*F201</f>
        <v>25</v>
      </c>
      <c r="J201" s="0" t="str">
        <f aca="false">TEXT(B201,"yyyy-mm")</f>
        <v>2026-07</v>
      </c>
    </row>
    <row r="202" customFormat="false" ht="15" hidden="false" customHeight="false" outlineLevel="0" collapsed="false">
      <c r="A202" s="0" t="s">
        <v>265</v>
      </c>
      <c r="B202" s="16" t="n">
        <v>46226</v>
      </c>
      <c r="C202" s="17" t="s">
        <v>267</v>
      </c>
      <c r="D202" s="17" t="s">
        <v>239</v>
      </c>
      <c r="E202" s="0" t="n">
        <v>4</v>
      </c>
      <c r="F202" s="4" t="n">
        <v>14.99</v>
      </c>
      <c r="G202" s="17" t="s">
        <v>20</v>
      </c>
      <c r="H202" s="17" t="s">
        <v>11</v>
      </c>
      <c r="I202" s="4" t="n">
        <f aca="false">E202*F202</f>
        <v>59.96</v>
      </c>
      <c r="J202" s="0" t="str">
        <f aca="false">TEXT(B202,"yyyy-mm")</f>
        <v>2026-07</v>
      </c>
    </row>
    <row r="203" customFormat="false" ht="15" hidden="false" customHeight="false" outlineLevel="0" collapsed="false">
      <c r="A203" s="0" t="s">
        <v>613</v>
      </c>
      <c r="B203" s="16" t="n">
        <v>46226</v>
      </c>
      <c r="C203" s="17" t="s">
        <v>256</v>
      </c>
      <c r="D203" s="17" t="s">
        <v>198</v>
      </c>
      <c r="E203" s="0" t="n">
        <v>4</v>
      </c>
      <c r="F203" s="4" t="n">
        <v>29</v>
      </c>
      <c r="G203" s="17" t="s">
        <v>17</v>
      </c>
      <c r="H203" s="17" t="s">
        <v>11</v>
      </c>
      <c r="I203" s="4" t="n">
        <f aca="false">E203*F203</f>
        <v>116</v>
      </c>
      <c r="J203" s="0" t="str">
        <f aca="false">TEXT(B203,"yyyy-mm")</f>
        <v>2026-07</v>
      </c>
    </row>
    <row r="204" customFormat="false" ht="15" hidden="false" customHeight="false" outlineLevel="0" collapsed="false">
      <c r="A204" s="0" t="s">
        <v>428</v>
      </c>
      <c r="B204" s="16" t="n">
        <v>46228</v>
      </c>
      <c r="C204" s="17" t="s">
        <v>137</v>
      </c>
      <c r="D204" s="17" t="s">
        <v>198</v>
      </c>
      <c r="E204" s="0" t="n">
        <v>3</v>
      </c>
      <c r="F204" s="4" t="n">
        <v>29</v>
      </c>
      <c r="G204" s="17" t="s">
        <v>18</v>
      </c>
      <c r="H204" s="17" t="s">
        <v>11</v>
      </c>
      <c r="I204" s="4" t="n">
        <f aca="false">E204*F204</f>
        <v>87</v>
      </c>
      <c r="J204" s="0" t="str">
        <f aca="false">TEXT(B204,"yyyy-mm")</f>
        <v>2026-07</v>
      </c>
    </row>
    <row r="205" customFormat="false" ht="15" hidden="false" customHeight="false" outlineLevel="0" collapsed="false">
      <c r="A205" s="0" t="s">
        <v>447</v>
      </c>
      <c r="B205" s="16" t="n">
        <v>46228</v>
      </c>
      <c r="C205" s="17" t="s">
        <v>114</v>
      </c>
      <c r="D205" s="17" t="s">
        <v>257</v>
      </c>
      <c r="E205" s="0" t="n">
        <v>2</v>
      </c>
      <c r="F205" s="4" t="n">
        <v>45</v>
      </c>
      <c r="G205" s="17" t="s">
        <v>18</v>
      </c>
      <c r="H205" s="17" t="s">
        <v>9</v>
      </c>
      <c r="I205" s="4" t="n">
        <f aca="false">E205*F205</f>
        <v>90</v>
      </c>
      <c r="J205" s="0" t="str">
        <f aca="false">TEXT(B205,"yyyy-mm")</f>
        <v>2026-07</v>
      </c>
    </row>
    <row r="206" customFormat="false" ht="15" hidden="false" customHeight="false" outlineLevel="0" collapsed="false">
      <c r="A206" s="0" t="s">
        <v>514</v>
      </c>
      <c r="B206" s="16" t="n">
        <v>46228</v>
      </c>
      <c r="C206" s="17" t="s">
        <v>435</v>
      </c>
      <c r="D206" s="17" t="s">
        <v>681</v>
      </c>
      <c r="E206" s="0" t="n">
        <v>3</v>
      </c>
      <c r="F206" s="4" t="n">
        <v>15</v>
      </c>
      <c r="G206" s="17" t="s">
        <v>17</v>
      </c>
      <c r="H206" s="17" t="s">
        <v>13</v>
      </c>
      <c r="I206" s="4" t="n">
        <f aca="false">E206*F206</f>
        <v>45</v>
      </c>
      <c r="J206" s="0" t="str">
        <f aca="false">TEXT(B206,"yyyy-mm")</f>
        <v>2026-07</v>
      </c>
    </row>
    <row r="207" customFormat="false" ht="15" hidden="false" customHeight="false" outlineLevel="0" collapsed="false">
      <c r="A207" s="0" t="s">
        <v>388</v>
      </c>
      <c r="B207" s="16" t="n">
        <v>46229</v>
      </c>
      <c r="C207" s="17" t="s">
        <v>174</v>
      </c>
      <c r="D207" s="17" t="s">
        <v>302</v>
      </c>
      <c r="E207" s="0" t="n">
        <v>2</v>
      </c>
      <c r="F207" s="4" t="n">
        <v>42</v>
      </c>
      <c r="G207" s="17" t="s">
        <v>18</v>
      </c>
      <c r="H207" s="17" t="s">
        <v>8</v>
      </c>
      <c r="I207" s="4" t="n">
        <f aca="false">E207*F207</f>
        <v>84</v>
      </c>
      <c r="J207" s="0" t="str">
        <f aca="false">TEXT(B207,"yyyy-mm")</f>
        <v>2026-07</v>
      </c>
    </row>
    <row r="208" customFormat="false" ht="15" hidden="false" customHeight="false" outlineLevel="0" collapsed="false">
      <c r="A208" s="0" t="s">
        <v>402</v>
      </c>
      <c r="B208" s="16" t="n">
        <v>46229</v>
      </c>
      <c r="C208" s="17" t="s">
        <v>50</v>
      </c>
      <c r="D208" s="17" t="s">
        <v>377</v>
      </c>
      <c r="E208" s="0" t="n">
        <v>2</v>
      </c>
      <c r="F208" s="4" t="n">
        <v>22</v>
      </c>
      <c r="G208" s="17" t="s">
        <v>18</v>
      </c>
      <c r="H208" s="17" t="s">
        <v>9</v>
      </c>
      <c r="I208" s="4" t="n">
        <f aca="false">E208*F208</f>
        <v>44</v>
      </c>
      <c r="J208" s="0" t="str">
        <f aca="false">TEXT(B208,"yyyy-mm")</f>
        <v>2026-07</v>
      </c>
    </row>
    <row r="209" customFormat="false" ht="15" hidden="false" customHeight="false" outlineLevel="0" collapsed="false">
      <c r="A209" s="0" t="s">
        <v>437</v>
      </c>
      <c r="B209" s="16" t="n">
        <v>46229</v>
      </c>
      <c r="C209" s="17" t="s">
        <v>438</v>
      </c>
      <c r="D209" s="17" t="s">
        <v>377</v>
      </c>
      <c r="E209" s="0" t="n">
        <v>3</v>
      </c>
      <c r="F209" s="4" t="n">
        <v>22</v>
      </c>
      <c r="G209" s="17" t="s">
        <v>17</v>
      </c>
      <c r="H209" s="17" t="s">
        <v>9</v>
      </c>
      <c r="I209" s="4" t="n">
        <f aca="false">E209*F209</f>
        <v>66</v>
      </c>
      <c r="J209" s="0" t="str">
        <f aca="false">TEXT(B209,"yyyy-mm")</f>
        <v>2026-07</v>
      </c>
    </row>
    <row r="210" customFormat="false" ht="15" hidden="false" customHeight="false" outlineLevel="0" collapsed="false">
      <c r="A210" s="0" t="s">
        <v>224</v>
      </c>
      <c r="B210" s="16" t="n">
        <v>46230</v>
      </c>
      <c r="C210" s="17" t="s">
        <v>35</v>
      </c>
      <c r="D210" s="17" t="s">
        <v>36</v>
      </c>
      <c r="E210" s="0" t="n">
        <v>2</v>
      </c>
      <c r="F210" s="4" t="n">
        <v>13.5</v>
      </c>
      <c r="G210" s="17" t="s">
        <v>20</v>
      </c>
      <c r="H210" s="17" t="s">
        <v>11</v>
      </c>
      <c r="I210" s="4" t="n">
        <f aca="false">E210*F210</f>
        <v>27</v>
      </c>
      <c r="J210" s="0" t="str">
        <f aca="false">TEXT(B210,"yyyy-mm")</f>
        <v>2026-07</v>
      </c>
    </row>
    <row r="211" customFormat="false" ht="15" hidden="false" customHeight="false" outlineLevel="0" collapsed="false">
      <c r="A211" s="0" t="s">
        <v>364</v>
      </c>
      <c r="B211" s="16" t="n">
        <v>46230</v>
      </c>
      <c r="C211" s="17" t="s">
        <v>169</v>
      </c>
      <c r="D211" s="17" t="s">
        <v>93</v>
      </c>
      <c r="E211" s="0" t="n">
        <v>4</v>
      </c>
      <c r="F211" s="4" t="n">
        <v>17</v>
      </c>
      <c r="G211" s="17" t="s">
        <v>19</v>
      </c>
      <c r="H211" s="17" t="s">
        <v>10</v>
      </c>
      <c r="I211" s="4" t="n">
        <f aca="false">E211*F211</f>
        <v>68</v>
      </c>
      <c r="J211" s="0" t="str">
        <f aca="false">TEXT(B211,"yyyy-mm")</f>
        <v>2026-07</v>
      </c>
    </row>
    <row r="212" customFormat="false" ht="15" hidden="false" customHeight="false" outlineLevel="0" collapsed="false">
      <c r="A212" s="13" t="s">
        <v>587</v>
      </c>
      <c r="B212" s="14" t="n">
        <v>46230</v>
      </c>
      <c r="C212" s="13" t="s">
        <v>438</v>
      </c>
      <c r="D212" s="13" t="s">
        <v>386</v>
      </c>
      <c r="E212" s="13" t="n">
        <v>4</v>
      </c>
      <c r="F212" s="15" t="n">
        <v>4.5</v>
      </c>
      <c r="G212" s="13" t="s">
        <v>19</v>
      </c>
      <c r="H212" s="13" t="s">
        <v>14</v>
      </c>
      <c r="I212" s="15" t="n">
        <f aca="false">E212*F212</f>
        <v>18</v>
      </c>
      <c r="J212" s="13" t="str">
        <f aca="false">TEXT(B212,"yyyy-mm")</f>
        <v>2026-07</v>
      </c>
    </row>
    <row r="213" customFormat="false" ht="15" hidden="false" customHeight="false" outlineLevel="0" collapsed="false">
      <c r="A213" s="0" t="s">
        <v>599</v>
      </c>
      <c r="B213" s="16" t="n">
        <v>46230</v>
      </c>
      <c r="C213" s="17" t="s">
        <v>101</v>
      </c>
      <c r="D213" s="17" t="s">
        <v>302</v>
      </c>
      <c r="E213" s="0" t="n">
        <v>3</v>
      </c>
      <c r="F213" s="4" t="n">
        <v>42</v>
      </c>
      <c r="G213" s="17" t="s">
        <v>20</v>
      </c>
      <c r="H213" s="17" t="s">
        <v>8</v>
      </c>
      <c r="I213" s="4" t="n">
        <f aca="false">E213*F213</f>
        <v>126</v>
      </c>
      <c r="J213" s="0" t="str">
        <f aca="false">TEXT(B213,"yyyy-mm")</f>
        <v>2026-07</v>
      </c>
    </row>
    <row r="214" customFormat="false" ht="15" hidden="false" customHeight="false" outlineLevel="0" collapsed="false">
      <c r="A214" s="0" t="s">
        <v>735</v>
      </c>
      <c r="B214" s="16" t="n">
        <v>46230</v>
      </c>
      <c r="C214" s="17" t="s">
        <v>256</v>
      </c>
      <c r="D214" s="17" t="s">
        <v>36</v>
      </c>
      <c r="E214" s="0" t="n">
        <v>4</v>
      </c>
      <c r="F214" s="4" t="n">
        <v>13.5</v>
      </c>
      <c r="G214" s="17" t="s">
        <v>18</v>
      </c>
      <c r="H214" s="17" t="s">
        <v>11</v>
      </c>
      <c r="I214" s="4" t="n">
        <f aca="false">E214*F214</f>
        <v>54</v>
      </c>
      <c r="J214" s="0" t="str">
        <f aca="false">TEXT(B214,"yyyy-mm")</f>
        <v>2026-07</v>
      </c>
    </row>
    <row r="215" customFormat="false" ht="15" hidden="false" customHeight="false" outlineLevel="0" collapsed="false">
      <c r="A215" s="0" t="s">
        <v>662</v>
      </c>
      <c r="B215" s="16" t="n">
        <v>46231</v>
      </c>
      <c r="C215" s="17" t="s">
        <v>196</v>
      </c>
      <c r="D215" s="17" t="s">
        <v>36</v>
      </c>
      <c r="E215" s="0" t="n">
        <v>3</v>
      </c>
      <c r="F215" s="4" t="n">
        <v>13.5</v>
      </c>
      <c r="G215" s="17" t="s">
        <v>19</v>
      </c>
      <c r="H215" s="17" t="s">
        <v>11</v>
      </c>
      <c r="I215" s="4" t="n">
        <f aca="false">E215*F215</f>
        <v>40.5</v>
      </c>
      <c r="J215" s="0" t="str">
        <f aca="false">TEXT(B215,"yyyy-mm")</f>
        <v>2026-07</v>
      </c>
    </row>
    <row r="216" customFormat="false" ht="15" hidden="false" customHeight="false" outlineLevel="0" collapsed="false">
      <c r="A216" s="0" t="s">
        <v>744</v>
      </c>
      <c r="B216" s="16" t="n">
        <v>46231</v>
      </c>
      <c r="C216" s="17" t="s">
        <v>50</v>
      </c>
      <c r="D216" s="17" t="s">
        <v>369</v>
      </c>
      <c r="E216" s="0" t="n">
        <v>3</v>
      </c>
      <c r="F216" s="4" t="n">
        <v>12</v>
      </c>
      <c r="G216" s="17" t="s">
        <v>20</v>
      </c>
      <c r="H216" s="17" t="s">
        <v>13</v>
      </c>
      <c r="I216" s="4" t="n">
        <f aca="false">E216*F216</f>
        <v>36</v>
      </c>
      <c r="J216" s="0" t="str">
        <f aca="false">TEXT(B216,"yyyy-mm")</f>
        <v>2026-07</v>
      </c>
    </row>
    <row r="217" customFormat="false" ht="15" hidden="false" customHeight="false" outlineLevel="0" collapsed="false">
      <c r="A217" s="0" t="s">
        <v>471</v>
      </c>
      <c r="B217" s="16" t="n">
        <v>46233</v>
      </c>
      <c r="C217" s="17" t="s">
        <v>40</v>
      </c>
      <c r="D217" s="17" t="s">
        <v>282</v>
      </c>
      <c r="E217" s="0" t="n">
        <v>3</v>
      </c>
      <c r="F217" s="4" t="n">
        <v>34</v>
      </c>
      <c r="G217" s="17" t="s">
        <v>20</v>
      </c>
      <c r="H217" s="17" t="s">
        <v>8</v>
      </c>
      <c r="I217" s="4" t="n">
        <f aca="false">E217*F217</f>
        <v>102</v>
      </c>
      <c r="J217" s="0" t="str">
        <f aca="false">TEXT(B217,"yyyy-mm")</f>
        <v>2026-07</v>
      </c>
    </row>
    <row r="218" customFormat="false" ht="15" hidden="false" customHeight="false" outlineLevel="0" collapsed="false">
      <c r="A218" s="0" t="s">
        <v>33</v>
      </c>
      <c r="B218" s="16" t="n">
        <v>46235</v>
      </c>
      <c r="C218" s="17" t="s">
        <v>35</v>
      </c>
      <c r="D218" s="17" t="s">
        <v>36</v>
      </c>
      <c r="E218" s="0" t="n">
        <v>1</v>
      </c>
      <c r="F218" s="4" t="n">
        <v>13.5</v>
      </c>
      <c r="G218" s="17" t="s">
        <v>18</v>
      </c>
      <c r="H218" s="17" t="s">
        <v>11</v>
      </c>
      <c r="I218" s="4" t="n">
        <f aca="false">E218*F218</f>
        <v>13.5</v>
      </c>
      <c r="J218" s="0" t="str">
        <f aca="false">TEXT(B218,"yyyy-mm")</f>
        <v>2026-08</v>
      </c>
    </row>
    <row r="219" customFormat="false" ht="15" hidden="false" customHeight="false" outlineLevel="0" collapsed="false">
      <c r="A219" s="0" t="s">
        <v>82</v>
      </c>
      <c r="B219" s="16" t="n">
        <v>46235</v>
      </c>
      <c r="C219" s="17" t="s">
        <v>83</v>
      </c>
      <c r="D219" s="17" t="s">
        <v>84</v>
      </c>
      <c r="E219" s="0" t="n">
        <v>2</v>
      </c>
      <c r="F219" s="4" t="n">
        <v>28</v>
      </c>
      <c r="G219" s="17" t="s">
        <v>17</v>
      </c>
      <c r="H219" s="17" t="s">
        <v>9</v>
      </c>
      <c r="I219" s="4" t="n">
        <f aca="false">E219*F219</f>
        <v>56</v>
      </c>
      <c r="J219" s="0" t="str">
        <f aca="false">TEXT(B219,"yyyy-mm")</f>
        <v>2026-08</v>
      </c>
    </row>
    <row r="220" customFormat="false" ht="15" hidden="false" customHeight="false" outlineLevel="0" collapsed="false">
      <c r="A220" s="0" t="s">
        <v>600</v>
      </c>
      <c r="B220" s="16" t="n">
        <v>46235</v>
      </c>
      <c r="C220" s="17" t="s">
        <v>188</v>
      </c>
      <c r="D220" s="17" t="s">
        <v>177</v>
      </c>
      <c r="E220" s="0" t="n">
        <v>3</v>
      </c>
      <c r="F220" s="4" t="n">
        <v>13</v>
      </c>
      <c r="G220" s="17" t="s">
        <v>19</v>
      </c>
      <c r="H220" s="17" t="s">
        <v>12</v>
      </c>
      <c r="I220" s="4" t="n">
        <f aca="false">E220*F220</f>
        <v>39</v>
      </c>
      <c r="J220" s="0" t="str">
        <f aca="false">TEXT(B220,"yyyy-mm")</f>
        <v>2026-08</v>
      </c>
    </row>
    <row r="221" customFormat="false" ht="15" hidden="false" customHeight="false" outlineLevel="0" collapsed="false">
      <c r="A221" s="0" t="s">
        <v>269</v>
      </c>
      <c r="B221" s="16" t="n">
        <v>46236</v>
      </c>
      <c r="C221" s="17" t="s">
        <v>114</v>
      </c>
      <c r="D221" s="17" t="s">
        <v>198</v>
      </c>
      <c r="E221" s="0" t="n">
        <v>3</v>
      </c>
      <c r="F221" s="4" t="n">
        <v>29</v>
      </c>
      <c r="G221" s="17" t="s">
        <v>18</v>
      </c>
      <c r="H221" s="17" t="s">
        <v>11</v>
      </c>
      <c r="I221" s="4" t="n">
        <f aca="false">E221*F221</f>
        <v>87</v>
      </c>
      <c r="J221" s="0" t="str">
        <f aca="false">TEXT(B221,"yyyy-mm")</f>
        <v>2026-08</v>
      </c>
    </row>
    <row r="222" customFormat="false" ht="15" hidden="false" customHeight="false" outlineLevel="0" collapsed="false">
      <c r="A222" s="0" t="s">
        <v>566</v>
      </c>
      <c r="B222" s="16" t="n">
        <v>46236</v>
      </c>
      <c r="C222" s="17" t="s">
        <v>267</v>
      </c>
      <c r="D222" s="17" t="s">
        <v>110</v>
      </c>
      <c r="E222" s="0" t="n">
        <v>3</v>
      </c>
      <c r="F222" s="4" t="n">
        <v>14</v>
      </c>
      <c r="G222" s="17" t="s">
        <v>20</v>
      </c>
      <c r="H222" s="17" t="s">
        <v>12</v>
      </c>
      <c r="I222" s="4" t="n">
        <f aca="false">E222*F222</f>
        <v>42</v>
      </c>
      <c r="J222" s="0" t="str">
        <f aca="false">TEXT(B222,"yyyy-mm")</f>
        <v>2026-08</v>
      </c>
    </row>
    <row r="223" customFormat="false" ht="15" hidden="false" customHeight="false" outlineLevel="0" collapsed="false">
      <c r="A223" s="0" t="s">
        <v>769</v>
      </c>
      <c r="B223" s="16" t="n">
        <v>46236</v>
      </c>
      <c r="C223" s="17" t="s">
        <v>118</v>
      </c>
      <c r="D223" s="17" t="s">
        <v>88</v>
      </c>
      <c r="E223" s="0" t="n">
        <v>1</v>
      </c>
      <c r="F223" s="4" t="n">
        <v>44</v>
      </c>
      <c r="G223" s="17" t="s">
        <v>17</v>
      </c>
      <c r="H223" s="17" t="s">
        <v>11</v>
      </c>
      <c r="I223" s="4" t="n">
        <f aca="false">E223*F223</f>
        <v>44</v>
      </c>
      <c r="J223" s="0" t="str">
        <f aca="false">TEXT(B223,"yyyy-mm")</f>
        <v>2026-08</v>
      </c>
    </row>
    <row r="224" customFormat="false" ht="15" hidden="false" customHeight="false" outlineLevel="0" collapsed="false">
      <c r="A224" s="0" t="s">
        <v>814</v>
      </c>
      <c r="B224" s="16" t="n">
        <v>46236</v>
      </c>
      <c r="C224" s="17" t="s">
        <v>233</v>
      </c>
      <c r="D224" s="17" t="s">
        <v>259</v>
      </c>
      <c r="E224" s="0" t="n">
        <v>3</v>
      </c>
      <c r="F224" s="4" t="n">
        <v>11</v>
      </c>
      <c r="G224" s="17" t="s">
        <v>19</v>
      </c>
      <c r="H224" s="17" t="s">
        <v>11</v>
      </c>
      <c r="I224" s="4" t="n">
        <f aca="false">E224*F224</f>
        <v>33</v>
      </c>
      <c r="J224" s="0" t="str">
        <f aca="false">TEXT(B224,"yyyy-mm")</f>
        <v>2026-08</v>
      </c>
    </row>
    <row r="225" customFormat="false" ht="15" hidden="false" customHeight="false" outlineLevel="0" collapsed="false">
      <c r="A225" s="0" t="s">
        <v>595</v>
      </c>
      <c r="B225" s="16" t="n">
        <v>46238</v>
      </c>
      <c r="C225" s="17" t="s">
        <v>597</v>
      </c>
      <c r="D225" s="17" t="s">
        <v>88</v>
      </c>
      <c r="E225" s="0" t="n">
        <v>1</v>
      </c>
      <c r="F225" s="4" t="n">
        <v>44</v>
      </c>
      <c r="G225" s="17" t="s">
        <v>17</v>
      </c>
      <c r="H225" s="17" t="s">
        <v>11</v>
      </c>
      <c r="I225" s="4" t="n">
        <f aca="false">E225*F225</f>
        <v>44</v>
      </c>
      <c r="J225" s="0" t="str">
        <f aca="false">TEXT(B225,"yyyy-mm")</f>
        <v>2026-08</v>
      </c>
    </row>
    <row r="226" customFormat="false" ht="15" hidden="false" customHeight="false" outlineLevel="0" collapsed="false">
      <c r="A226" s="0" t="s">
        <v>781</v>
      </c>
      <c r="B226" s="16" t="n">
        <v>46239</v>
      </c>
      <c r="C226" s="17" t="s">
        <v>114</v>
      </c>
      <c r="D226" s="17" t="s">
        <v>102</v>
      </c>
      <c r="E226" s="0" t="n">
        <v>2</v>
      </c>
      <c r="F226" s="4" t="n">
        <v>7.5</v>
      </c>
      <c r="G226" s="17" t="s">
        <v>17</v>
      </c>
      <c r="H226" s="17" t="s">
        <v>12</v>
      </c>
      <c r="I226" s="4" t="n">
        <f aca="false">E226*F226</f>
        <v>15</v>
      </c>
      <c r="J226" s="0" t="str">
        <f aca="false">TEXT(B226,"yyyy-mm")</f>
        <v>2026-08</v>
      </c>
    </row>
    <row r="227" customFormat="false" ht="15" hidden="false" customHeight="false" outlineLevel="0" collapsed="false">
      <c r="A227" s="0" t="s">
        <v>836</v>
      </c>
      <c r="B227" s="16" t="n">
        <v>46239</v>
      </c>
      <c r="C227" s="17" t="s">
        <v>101</v>
      </c>
      <c r="D227" s="17" t="s">
        <v>229</v>
      </c>
      <c r="E227" s="0" t="n">
        <v>2</v>
      </c>
      <c r="F227" s="4" t="n">
        <v>31.5</v>
      </c>
      <c r="G227" s="17" t="s">
        <v>18</v>
      </c>
      <c r="H227" s="17" t="s">
        <v>9</v>
      </c>
      <c r="I227" s="4" t="n">
        <f aca="false">E227*F227</f>
        <v>63</v>
      </c>
      <c r="J227" s="0" t="str">
        <f aca="false">TEXT(B227,"yyyy-mm")</f>
        <v>2026-08</v>
      </c>
    </row>
    <row r="228" customFormat="false" ht="15" hidden="false" customHeight="false" outlineLevel="0" collapsed="false">
      <c r="A228" s="0" t="s">
        <v>231</v>
      </c>
      <c r="B228" s="16" t="n">
        <v>46240</v>
      </c>
      <c r="C228" s="17" t="s">
        <v>233</v>
      </c>
      <c r="D228" s="17" t="s">
        <v>234</v>
      </c>
      <c r="E228" s="0" t="n">
        <v>4</v>
      </c>
      <c r="F228" s="4" t="n">
        <v>59.99</v>
      </c>
      <c r="G228" s="17" t="s">
        <v>19</v>
      </c>
      <c r="H228" s="17" t="s">
        <v>8</v>
      </c>
      <c r="I228" s="4" t="n">
        <f aca="false">E228*F228</f>
        <v>239.96</v>
      </c>
      <c r="J228" s="0" t="str">
        <f aca="false">TEXT(B228,"yyyy-mm")</f>
        <v>2026-08</v>
      </c>
    </row>
    <row r="229" customFormat="false" ht="15" hidden="false" customHeight="false" outlineLevel="0" collapsed="false">
      <c r="A229" s="0" t="s">
        <v>797</v>
      </c>
      <c r="B229" s="16" t="n">
        <v>46240</v>
      </c>
      <c r="C229" s="17" t="s">
        <v>577</v>
      </c>
      <c r="D229" s="17" t="s">
        <v>799</v>
      </c>
      <c r="E229" s="0" t="n">
        <v>4</v>
      </c>
      <c r="F229" s="4" t="n">
        <v>33</v>
      </c>
      <c r="G229" s="17" t="s">
        <v>17</v>
      </c>
      <c r="H229" s="17" t="s">
        <v>13</v>
      </c>
      <c r="I229" s="4" t="n">
        <f aca="false">E229*F229</f>
        <v>132</v>
      </c>
      <c r="J229" s="0" t="str">
        <f aca="false">TEXT(B229,"yyyy-mm")</f>
        <v>2026-08</v>
      </c>
    </row>
    <row r="230" customFormat="false" ht="15" hidden="false" customHeight="false" outlineLevel="0" collapsed="false">
      <c r="A230" s="0" t="s">
        <v>561</v>
      </c>
      <c r="B230" s="16" t="n">
        <v>46241</v>
      </c>
      <c r="C230" s="17" t="s">
        <v>50</v>
      </c>
      <c r="D230" s="17" t="s">
        <v>46</v>
      </c>
      <c r="E230" s="0" t="n">
        <v>3</v>
      </c>
      <c r="F230" s="4" t="n">
        <v>9.99</v>
      </c>
      <c r="G230" s="17" t="s">
        <v>20</v>
      </c>
      <c r="H230" s="17" t="s">
        <v>8</v>
      </c>
      <c r="I230" s="4" t="n">
        <f aca="false">E230*F230</f>
        <v>29.97</v>
      </c>
      <c r="J230" s="0" t="str">
        <f aca="false">TEXT(B230,"yyyy-mm")</f>
        <v>2026-08</v>
      </c>
    </row>
    <row r="231" customFormat="false" ht="15" hidden="false" customHeight="false" outlineLevel="0" collapsed="false">
      <c r="A231" s="0" t="s">
        <v>236</v>
      </c>
      <c r="B231" s="16" t="n">
        <v>46242</v>
      </c>
      <c r="C231" s="17" t="s">
        <v>238</v>
      </c>
      <c r="D231" s="17" t="s">
        <v>239</v>
      </c>
      <c r="E231" s="0" t="n">
        <v>1</v>
      </c>
      <c r="F231" s="4" t="n">
        <v>14.99</v>
      </c>
      <c r="G231" s="17" t="s">
        <v>19</v>
      </c>
      <c r="H231" s="17" t="s">
        <v>11</v>
      </c>
      <c r="I231" s="4" t="n">
        <f aca="false">E231*F231</f>
        <v>14.99</v>
      </c>
      <c r="J231" s="0" t="str">
        <f aca="false">TEXT(B231,"yyyy-mm")</f>
        <v>2026-08</v>
      </c>
    </row>
    <row r="232" customFormat="false" ht="15" hidden="false" customHeight="false" outlineLevel="0" collapsed="false">
      <c r="A232" s="0" t="s">
        <v>278</v>
      </c>
      <c r="B232" s="16" t="n">
        <v>46242</v>
      </c>
      <c r="C232" s="17" t="s">
        <v>253</v>
      </c>
      <c r="D232" s="17" t="s">
        <v>259</v>
      </c>
      <c r="E232" s="0" t="n">
        <v>4</v>
      </c>
      <c r="F232" s="4" t="n">
        <v>11</v>
      </c>
      <c r="G232" s="17" t="s">
        <v>20</v>
      </c>
      <c r="H232" s="17" t="s">
        <v>11</v>
      </c>
      <c r="I232" s="4" t="n">
        <f aca="false">E232*F232</f>
        <v>44</v>
      </c>
      <c r="J232" s="0" t="str">
        <f aca="false">TEXT(B232,"yyyy-mm")</f>
        <v>2026-08</v>
      </c>
    </row>
    <row r="233" customFormat="false" ht="15" hidden="false" customHeight="false" outlineLevel="0" collapsed="false">
      <c r="A233" s="0" t="s">
        <v>293</v>
      </c>
      <c r="B233" s="16" t="n">
        <v>46243</v>
      </c>
      <c r="C233" s="17" t="s">
        <v>295</v>
      </c>
      <c r="D233" s="17" t="s">
        <v>213</v>
      </c>
      <c r="E233" s="0" t="n">
        <v>3</v>
      </c>
      <c r="F233" s="4" t="n">
        <v>24.99</v>
      </c>
      <c r="G233" s="17" t="s">
        <v>19</v>
      </c>
      <c r="H233" s="17" t="s">
        <v>10</v>
      </c>
      <c r="I233" s="4" t="n">
        <f aca="false">E233*F233</f>
        <v>74.97</v>
      </c>
      <c r="J233" s="0" t="str">
        <f aca="false">TEXT(B233,"yyyy-mm")</f>
        <v>2026-08</v>
      </c>
    </row>
    <row r="234" customFormat="false" ht="15" hidden="false" customHeight="false" outlineLevel="0" collapsed="false">
      <c r="A234" s="0" t="s">
        <v>450</v>
      </c>
      <c r="B234" s="16" t="n">
        <v>46243</v>
      </c>
      <c r="C234" s="17" t="s">
        <v>243</v>
      </c>
      <c r="D234" s="17" t="s">
        <v>282</v>
      </c>
      <c r="E234" s="0" t="n">
        <v>2</v>
      </c>
      <c r="F234" s="4" t="n">
        <v>34</v>
      </c>
      <c r="G234" s="17" t="s">
        <v>19</v>
      </c>
      <c r="H234" s="17" t="s">
        <v>8</v>
      </c>
      <c r="I234" s="4" t="n">
        <f aca="false">E234*F234</f>
        <v>68</v>
      </c>
      <c r="J234" s="0" t="str">
        <f aca="false">TEXT(B234,"yyyy-mm")</f>
        <v>2026-08</v>
      </c>
    </row>
    <row r="235" customFormat="false" ht="15" hidden="false" customHeight="false" outlineLevel="0" collapsed="false">
      <c r="A235" s="0" t="s">
        <v>571</v>
      </c>
      <c r="B235" s="16" t="n">
        <v>46243</v>
      </c>
      <c r="C235" s="17" t="s">
        <v>150</v>
      </c>
      <c r="D235" s="17" t="s">
        <v>84</v>
      </c>
      <c r="E235" s="0" t="n">
        <v>1</v>
      </c>
      <c r="F235" s="4" t="n">
        <v>28</v>
      </c>
      <c r="G235" s="17" t="s">
        <v>20</v>
      </c>
      <c r="H235" s="17" t="s">
        <v>9</v>
      </c>
      <c r="I235" s="4" t="n">
        <f aca="false">E235*F235</f>
        <v>28</v>
      </c>
      <c r="J235" s="0" t="str">
        <f aca="false">TEXT(B235,"yyyy-mm")</f>
        <v>2026-08</v>
      </c>
    </row>
    <row r="236" customFormat="false" ht="15" hidden="false" customHeight="false" outlineLevel="0" collapsed="false">
      <c r="A236" s="0" t="s">
        <v>246</v>
      </c>
      <c r="B236" s="16" t="n">
        <v>46244</v>
      </c>
      <c r="C236" s="17" t="s">
        <v>133</v>
      </c>
      <c r="D236" s="17" t="s">
        <v>36</v>
      </c>
      <c r="E236" s="0" t="n">
        <v>3</v>
      </c>
      <c r="F236" s="4" t="n">
        <v>13.5</v>
      </c>
      <c r="G236" s="17" t="s">
        <v>18</v>
      </c>
      <c r="H236" s="17" t="s">
        <v>11</v>
      </c>
      <c r="I236" s="4" t="n">
        <f aca="false">E236*F236</f>
        <v>40.5</v>
      </c>
      <c r="J236" s="0" t="str">
        <f aca="false">TEXT(B236,"yyyy-mm")</f>
        <v>2026-08</v>
      </c>
    </row>
    <row r="237" customFormat="false" ht="15" hidden="false" customHeight="false" outlineLevel="0" collapsed="false">
      <c r="A237" s="0" t="s">
        <v>488</v>
      </c>
      <c r="B237" s="16" t="n">
        <v>46244</v>
      </c>
      <c r="C237" s="17" t="s">
        <v>118</v>
      </c>
      <c r="D237" s="17" t="s">
        <v>220</v>
      </c>
      <c r="E237" s="0" t="n">
        <v>2</v>
      </c>
      <c r="F237" s="4" t="n">
        <v>18.5</v>
      </c>
      <c r="G237" s="17" t="s">
        <v>19</v>
      </c>
      <c r="H237" s="17" t="s">
        <v>8</v>
      </c>
      <c r="I237" s="4" t="n">
        <f aca="false">E237*F237</f>
        <v>37</v>
      </c>
      <c r="J237" s="0" t="str">
        <f aca="false">TEXT(B237,"yyyy-mm")</f>
        <v>2026-08</v>
      </c>
    </row>
    <row r="238" customFormat="false" ht="15" hidden="false" customHeight="false" outlineLevel="0" collapsed="false">
      <c r="A238" s="0" t="s">
        <v>673</v>
      </c>
      <c r="B238" s="16" t="n">
        <v>46245</v>
      </c>
      <c r="C238" s="17" t="s">
        <v>549</v>
      </c>
      <c r="D238" s="17" t="s">
        <v>97</v>
      </c>
      <c r="E238" s="0" t="n">
        <v>2</v>
      </c>
      <c r="F238" s="4" t="n">
        <v>8.99</v>
      </c>
      <c r="G238" s="17" t="s">
        <v>18</v>
      </c>
      <c r="H238" s="17" t="s">
        <v>10</v>
      </c>
      <c r="I238" s="4" t="n">
        <f aca="false">E238*F238</f>
        <v>17.98</v>
      </c>
      <c r="J238" s="0" t="str">
        <f aca="false">TEXT(B238,"yyyy-mm")</f>
        <v>2026-08</v>
      </c>
    </row>
    <row r="239" customFormat="false" ht="15" hidden="false" customHeight="false" outlineLevel="0" collapsed="false">
      <c r="A239" s="0" t="s">
        <v>280</v>
      </c>
      <c r="B239" s="16" t="n">
        <v>46246</v>
      </c>
      <c r="C239" s="17" t="s">
        <v>174</v>
      </c>
      <c r="D239" s="17" t="s">
        <v>282</v>
      </c>
      <c r="E239" s="0" t="n">
        <v>4</v>
      </c>
      <c r="F239" s="4" t="n">
        <v>34</v>
      </c>
      <c r="G239" s="17" t="s">
        <v>18</v>
      </c>
      <c r="H239" s="17" t="s">
        <v>8</v>
      </c>
      <c r="I239" s="4" t="n">
        <f aca="false">E239*F239</f>
        <v>136</v>
      </c>
      <c r="J239" s="0" t="str">
        <f aca="false">TEXT(B239,"yyyy-mm")</f>
        <v>2026-08</v>
      </c>
    </row>
    <row r="240" customFormat="false" ht="15" hidden="false" customHeight="false" outlineLevel="0" collapsed="false">
      <c r="A240" s="0" t="s">
        <v>194</v>
      </c>
      <c r="B240" s="16" t="n">
        <v>46247</v>
      </c>
      <c r="C240" s="17" t="s">
        <v>196</v>
      </c>
      <c r="D240" s="17" t="s">
        <v>36</v>
      </c>
      <c r="E240" s="0" t="n">
        <v>2</v>
      </c>
      <c r="F240" s="4" t="n">
        <v>13.5</v>
      </c>
      <c r="G240" s="17" t="s">
        <v>18</v>
      </c>
      <c r="H240" s="17" t="s">
        <v>11</v>
      </c>
      <c r="I240" s="4" t="n">
        <f aca="false">E240*F240</f>
        <v>27</v>
      </c>
      <c r="J240" s="0" t="str">
        <f aca="false">TEXT(B240,"yyyy-mm")</f>
        <v>2026-08</v>
      </c>
    </row>
    <row r="241" customFormat="false" ht="15" hidden="false" customHeight="false" outlineLevel="0" collapsed="false">
      <c r="A241" s="0" t="s">
        <v>426</v>
      </c>
      <c r="B241" s="16" t="n">
        <v>46247</v>
      </c>
      <c r="C241" s="17" t="s">
        <v>159</v>
      </c>
      <c r="D241" s="17" t="s">
        <v>681</v>
      </c>
      <c r="E241" s="0" t="n">
        <v>1</v>
      </c>
      <c r="F241" s="4" t="n">
        <v>15</v>
      </c>
      <c r="G241" s="17" t="s">
        <v>20</v>
      </c>
      <c r="H241" s="17" t="s">
        <v>13</v>
      </c>
      <c r="I241" s="4" t="n">
        <f aca="false">E241*F241</f>
        <v>15</v>
      </c>
      <c r="J241" s="0" t="str">
        <f aca="false">TEXT(B241,"yyyy-mm")</f>
        <v>2026-08</v>
      </c>
    </row>
    <row r="242" customFormat="false" ht="15" hidden="false" customHeight="false" outlineLevel="0" collapsed="false">
      <c r="A242" s="0" t="s">
        <v>691</v>
      </c>
      <c r="B242" s="16" t="n">
        <v>46247</v>
      </c>
      <c r="C242" s="17" t="s">
        <v>238</v>
      </c>
      <c r="D242" s="17" t="s">
        <v>799</v>
      </c>
      <c r="E242" s="0" t="n">
        <v>1</v>
      </c>
      <c r="F242" s="4" t="n">
        <v>33</v>
      </c>
      <c r="G242" s="17" t="s">
        <v>19</v>
      </c>
      <c r="H242" s="17" t="s">
        <v>13</v>
      </c>
      <c r="I242" s="4" t="n">
        <f aca="false">E242*F242</f>
        <v>33</v>
      </c>
      <c r="J242" s="0" t="str">
        <f aca="false">TEXT(B242,"yyyy-mm")</f>
        <v>2026-08</v>
      </c>
    </row>
    <row r="243" customFormat="false" ht="15" hidden="false" customHeight="false" outlineLevel="0" collapsed="false">
      <c r="A243" s="0" t="s">
        <v>157</v>
      </c>
      <c r="B243" s="16" t="n">
        <v>46248</v>
      </c>
      <c r="C243" s="17" t="s">
        <v>159</v>
      </c>
      <c r="D243" s="17" t="s">
        <v>299</v>
      </c>
      <c r="E243" s="0" t="n">
        <v>4</v>
      </c>
      <c r="F243" s="4" t="n">
        <v>62</v>
      </c>
      <c r="G243" s="17" t="s">
        <v>20</v>
      </c>
      <c r="H243" s="17" t="s">
        <v>11</v>
      </c>
      <c r="I243" s="4" t="n">
        <f aca="false">E243*F243</f>
        <v>248</v>
      </c>
      <c r="J243" s="0" t="str">
        <f aca="false">TEXT(B243,"yyyy-mm")</f>
        <v>2026-08</v>
      </c>
    </row>
    <row r="244" customFormat="false" ht="15" hidden="false" customHeight="false" outlineLevel="0" collapsed="false">
      <c r="A244" s="0" t="s">
        <v>423</v>
      </c>
      <c r="B244" s="16" t="n">
        <v>46248</v>
      </c>
      <c r="C244" s="17" t="s">
        <v>425</v>
      </c>
      <c r="D244" s="17" t="s">
        <v>204</v>
      </c>
      <c r="E244" s="0" t="n">
        <v>2</v>
      </c>
      <c r="F244" s="4" t="n">
        <v>39</v>
      </c>
      <c r="G244" s="17" t="s">
        <v>17</v>
      </c>
      <c r="H244" s="17" t="s">
        <v>9</v>
      </c>
      <c r="I244" s="4" t="n">
        <f aca="false">E244*F244</f>
        <v>78</v>
      </c>
      <c r="J244" s="0" t="str">
        <f aca="false">TEXT(B244,"yyyy-mm")</f>
        <v>2026-08</v>
      </c>
    </row>
    <row r="245" customFormat="false" ht="15" hidden="false" customHeight="false" outlineLevel="0" collapsed="false">
      <c r="A245" s="0" t="s">
        <v>695</v>
      </c>
      <c r="B245" s="16" t="n">
        <v>46248</v>
      </c>
      <c r="C245" s="17" t="s">
        <v>577</v>
      </c>
      <c r="D245" s="17" t="s">
        <v>177</v>
      </c>
      <c r="E245" s="0" t="n">
        <v>2</v>
      </c>
      <c r="F245" s="4" t="n">
        <v>13</v>
      </c>
      <c r="G245" s="17" t="s">
        <v>17</v>
      </c>
      <c r="H245" s="17" t="s">
        <v>12</v>
      </c>
      <c r="I245" s="4" t="n">
        <f aca="false">E245*F245</f>
        <v>26</v>
      </c>
      <c r="J245" s="0" t="str">
        <f aca="false">TEXT(B245,"yyyy-mm")</f>
        <v>2026-08</v>
      </c>
    </row>
    <row r="246" customFormat="false" ht="15" hidden="false" customHeight="false" outlineLevel="0" collapsed="false">
      <c r="A246" s="0" t="s">
        <v>182</v>
      </c>
      <c r="B246" s="16" t="n">
        <v>46249</v>
      </c>
      <c r="C246" s="17" t="s">
        <v>40</v>
      </c>
      <c r="D246" s="17" t="s">
        <v>110</v>
      </c>
      <c r="E246" s="0" t="n">
        <v>1</v>
      </c>
      <c r="F246" s="4" t="n">
        <v>14</v>
      </c>
      <c r="G246" s="17" t="s">
        <v>17</v>
      </c>
      <c r="H246" s="17" t="s">
        <v>12</v>
      </c>
      <c r="I246" s="4" t="n">
        <f aca="false">E246*F246</f>
        <v>14</v>
      </c>
      <c r="J246" s="0" t="str">
        <f aca="false">TEXT(B246,"yyyy-mm")</f>
        <v>2026-08</v>
      </c>
    </row>
    <row r="247" customFormat="false" ht="15" hidden="false" customHeight="false" outlineLevel="0" collapsed="false">
      <c r="A247" s="0" t="s">
        <v>809</v>
      </c>
      <c r="B247" s="16" t="n">
        <v>46249</v>
      </c>
      <c r="C247" s="17" t="s">
        <v>333</v>
      </c>
      <c r="D247" s="17" t="s">
        <v>377</v>
      </c>
      <c r="E247" s="0" t="n">
        <v>4</v>
      </c>
      <c r="F247" s="4" t="n">
        <v>22</v>
      </c>
      <c r="G247" s="17" t="s">
        <v>20</v>
      </c>
      <c r="H247" s="17" t="s">
        <v>9</v>
      </c>
      <c r="I247" s="4" t="n">
        <f aca="false">E247*F247</f>
        <v>88</v>
      </c>
      <c r="J247" s="0" t="str">
        <f aca="false">TEXT(B247,"yyyy-mm")</f>
        <v>2026-08</v>
      </c>
    </row>
    <row r="248" customFormat="false" ht="15" hidden="false" customHeight="false" outlineLevel="0" collapsed="false">
      <c r="A248" s="0" t="s">
        <v>211</v>
      </c>
      <c r="B248" s="16" t="n">
        <v>46250</v>
      </c>
      <c r="C248" s="17" t="s">
        <v>45</v>
      </c>
      <c r="D248" s="17" t="s">
        <v>213</v>
      </c>
      <c r="E248" s="0" t="n">
        <v>3</v>
      </c>
      <c r="F248" s="4" t="n">
        <v>24.99</v>
      </c>
      <c r="G248" s="17" t="s">
        <v>20</v>
      </c>
      <c r="H248" s="17" t="s">
        <v>10</v>
      </c>
      <c r="I248" s="4" t="n">
        <f aca="false">E248*F248</f>
        <v>74.97</v>
      </c>
      <c r="J248" s="0" t="str">
        <f aca="false">TEXT(B248,"yyyy-mm")</f>
        <v>2026-08</v>
      </c>
    </row>
    <row r="249" customFormat="false" ht="15" hidden="false" customHeight="false" outlineLevel="0" collapsed="false">
      <c r="A249" s="0" t="s">
        <v>286</v>
      </c>
      <c r="B249" s="16" t="n">
        <v>46250</v>
      </c>
      <c r="C249" s="17" t="s">
        <v>233</v>
      </c>
      <c r="D249" s="17" t="s">
        <v>198</v>
      </c>
      <c r="E249" s="0" t="n">
        <v>3</v>
      </c>
      <c r="F249" s="4" t="n">
        <v>29</v>
      </c>
      <c r="G249" s="17" t="s">
        <v>18</v>
      </c>
      <c r="H249" s="17" t="s">
        <v>11</v>
      </c>
      <c r="I249" s="4" t="n">
        <f aca="false">E249*F249</f>
        <v>87</v>
      </c>
      <c r="J249" s="0" t="str">
        <f aca="false">TEXT(B249,"yyyy-mm")</f>
        <v>2026-08</v>
      </c>
    </row>
    <row r="250" customFormat="false" ht="15" hidden="false" customHeight="false" outlineLevel="0" collapsed="false">
      <c r="A250" s="0" t="s">
        <v>241</v>
      </c>
      <c r="B250" s="16" t="n">
        <v>46252</v>
      </c>
      <c r="C250" s="17" t="s">
        <v>243</v>
      </c>
      <c r="D250" s="17" t="s">
        <v>289</v>
      </c>
      <c r="E250" s="0" t="n">
        <v>4</v>
      </c>
      <c r="F250" s="4" t="n">
        <v>21</v>
      </c>
      <c r="G250" s="17" t="s">
        <v>19</v>
      </c>
      <c r="H250" s="17" t="s">
        <v>10</v>
      </c>
      <c r="I250" s="4" t="n">
        <f aca="false">E250*F250</f>
        <v>84</v>
      </c>
      <c r="J250" s="0" t="str">
        <f aca="false">TEXT(B250,"yyyy-mm")</f>
        <v>2026-08</v>
      </c>
    </row>
    <row r="251" customFormat="false" ht="15" hidden="false" customHeight="false" outlineLevel="0" collapsed="false">
      <c r="A251" s="0" t="s">
        <v>495</v>
      </c>
      <c r="B251" s="16" t="n">
        <v>46253</v>
      </c>
      <c r="C251" s="17" t="s">
        <v>35</v>
      </c>
      <c r="D251" s="17" t="s">
        <v>289</v>
      </c>
      <c r="E251" s="0" t="n">
        <v>3</v>
      </c>
      <c r="F251" s="4" t="n">
        <v>21</v>
      </c>
      <c r="G251" s="17" t="s">
        <v>18</v>
      </c>
      <c r="H251" s="17" t="s">
        <v>10</v>
      </c>
      <c r="I251" s="4" t="n">
        <f aca="false">E251*F251</f>
        <v>63</v>
      </c>
      <c r="J251" s="0" t="str">
        <f aca="false">TEXT(B251,"yyyy-mm")</f>
        <v>2026-08</v>
      </c>
    </row>
    <row r="252" customFormat="false" ht="15" hidden="false" customHeight="false" outlineLevel="0" collapsed="false">
      <c r="A252" s="0" t="s">
        <v>68</v>
      </c>
      <c r="B252" s="16" t="n">
        <v>46254</v>
      </c>
      <c r="C252" s="17" t="s">
        <v>70</v>
      </c>
      <c r="D252" s="17" t="s">
        <v>36</v>
      </c>
      <c r="E252" s="0" t="n">
        <v>3</v>
      </c>
      <c r="F252" s="4" t="n">
        <v>13.5</v>
      </c>
      <c r="G252" s="17" t="s">
        <v>18</v>
      </c>
      <c r="H252" s="17" t="s">
        <v>11</v>
      </c>
      <c r="I252" s="4" t="n">
        <f aca="false">E252*F252</f>
        <v>40.5</v>
      </c>
      <c r="J252" s="0" t="str">
        <f aca="false">TEXT(B252,"yyyy-mm")</f>
        <v>2026-08</v>
      </c>
    </row>
    <row r="253" customFormat="false" ht="15" hidden="false" customHeight="false" outlineLevel="0" collapsed="false">
      <c r="A253" s="0" t="s">
        <v>108</v>
      </c>
      <c r="B253" s="16" t="n">
        <v>46254</v>
      </c>
      <c r="C253" s="17" t="s">
        <v>109</v>
      </c>
      <c r="D253" s="17" t="s">
        <v>110</v>
      </c>
      <c r="E253" s="0" t="n">
        <v>4</v>
      </c>
      <c r="F253" s="4" t="n">
        <v>14</v>
      </c>
      <c r="G253" s="17" t="s">
        <v>20</v>
      </c>
      <c r="H253" s="17" t="s">
        <v>12</v>
      </c>
      <c r="I253" s="4" t="n">
        <f aca="false">E253*F253</f>
        <v>56</v>
      </c>
      <c r="J253" s="0" t="str">
        <f aca="false">TEXT(B253,"yyyy-mm")</f>
        <v>2026-08</v>
      </c>
    </row>
    <row r="254" customFormat="false" ht="15" hidden="false" customHeight="false" outlineLevel="0" collapsed="false">
      <c r="A254" s="0" t="s">
        <v>419</v>
      </c>
      <c r="B254" s="16" t="n">
        <v>46254</v>
      </c>
      <c r="C254" s="17" t="s">
        <v>233</v>
      </c>
      <c r="D254" s="17" t="s">
        <v>177</v>
      </c>
      <c r="E254" s="0" t="n">
        <v>4</v>
      </c>
      <c r="F254" s="4" t="n">
        <v>13</v>
      </c>
      <c r="G254" s="17" t="s">
        <v>19</v>
      </c>
      <c r="H254" s="17" t="s">
        <v>12</v>
      </c>
      <c r="I254" s="4" t="n">
        <f aca="false">E254*F254</f>
        <v>52</v>
      </c>
      <c r="J254" s="0" t="str">
        <f aca="false">TEXT(B254,"yyyy-mm")</f>
        <v>2026-08</v>
      </c>
    </row>
    <row r="255" customFormat="false" ht="15" hidden="false" customHeight="false" outlineLevel="0" collapsed="false">
      <c r="A255" s="0" t="s">
        <v>775</v>
      </c>
      <c r="B255" s="16" t="n">
        <v>46254</v>
      </c>
      <c r="C255" s="17" t="s">
        <v>492</v>
      </c>
      <c r="D255" s="17" t="s">
        <v>80</v>
      </c>
      <c r="E255" s="0" t="n">
        <v>1</v>
      </c>
      <c r="F255" s="4" t="n">
        <v>27.99</v>
      </c>
      <c r="G255" s="17" t="s">
        <v>17</v>
      </c>
      <c r="H255" s="17" t="s">
        <v>8</v>
      </c>
      <c r="I255" s="4" t="n">
        <f aca="false">E255*F255</f>
        <v>27.99</v>
      </c>
      <c r="J255" s="0" t="str">
        <f aca="false">TEXT(B255,"yyyy-mm")</f>
        <v>2026-08</v>
      </c>
    </row>
    <row r="256" customFormat="false" ht="15" hidden="false" customHeight="false" outlineLevel="0" collapsed="false">
      <c r="A256" s="0" t="s">
        <v>112</v>
      </c>
      <c r="B256" s="16" t="n">
        <v>46255</v>
      </c>
      <c r="C256" s="17" t="s">
        <v>114</v>
      </c>
      <c r="D256" s="17" t="s">
        <v>110</v>
      </c>
      <c r="E256" s="0" t="n">
        <v>4</v>
      </c>
      <c r="F256" s="4" t="n">
        <v>14</v>
      </c>
      <c r="G256" s="17" t="s">
        <v>17</v>
      </c>
      <c r="H256" s="17" t="s">
        <v>12</v>
      </c>
      <c r="I256" s="4" t="n">
        <f aca="false">E256*F256</f>
        <v>56</v>
      </c>
      <c r="J256" s="0" t="str">
        <f aca="false">TEXT(B256,"yyyy-mm")</f>
        <v>2026-08</v>
      </c>
    </row>
    <row r="257" customFormat="false" ht="15" hidden="false" customHeight="false" outlineLevel="0" collapsed="false">
      <c r="A257" s="0" t="s">
        <v>184</v>
      </c>
      <c r="B257" s="16" t="n">
        <v>46255</v>
      </c>
      <c r="C257" s="17" t="s">
        <v>79</v>
      </c>
      <c r="D257" s="17" t="s">
        <v>129</v>
      </c>
      <c r="E257" s="0" t="n">
        <v>1</v>
      </c>
      <c r="F257" s="4" t="n">
        <v>11.99</v>
      </c>
      <c r="G257" s="17" t="s">
        <v>19</v>
      </c>
      <c r="H257" s="17" t="s">
        <v>13</v>
      </c>
      <c r="I257" s="4" t="n">
        <f aca="false">E257*F257</f>
        <v>11.99</v>
      </c>
      <c r="J257" s="0" t="str">
        <f aca="false">TEXT(B257,"yyyy-mm")</f>
        <v>2026-08</v>
      </c>
    </row>
    <row r="258" customFormat="false" ht="15" hidden="false" customHeight="false" outlineLevel="0" collapsed="false">
      <c r="A258" s="0" t="s">
        <v>557</v>
      </c>
      <c r="B258" s="16" t="n">
        <v>46255</v>
      </c>
      <c r="C258" s="17" t="s">
        <v>362</v>
      </c>
      <c r="D258" s="17" t="s">
        <v>198</v>
      </c>
      <c r="E258" s="0" t="n">
        <v>1</v>
      </c>
      <c r="F258" s="4" t="n">
        <v>29</v>
      </c>
      <c r="G258" s="17" t="s">
        <v>18</v>
      </c>
      <c r="H258" s="17" t="s">
        <v>11</v>
      </c>
      <c r="I258" s="4" t="n">
        <f aca="false">E258*F258</f>
        <v>29</v>
      </c>
      <c r="J258" s="0" t="str">
        <f aca="false">TEXT(B258,"yyyy-mm")</f>
        <v>2026-08</v>
      </c>
    </row>
    <row r="259" customFormat="false" ht="15" hidden="false" customHeight="false" outlineLevel="0" collapsed="false">
      <c r="A259" s="0" t="s">
        <v>725</v>
      </c>
      <c r="B259" s="16" t="n">
        <v>46256</v>
      </c>
      <c r="C259" s="17" t="s">
        <v>295</v>
      </c>
      <c r="D259" s="17" t="s">
        <v>299</v>
      </c>
      <c r="E259" s="0" t="n">
        <v>3</v>
      </c>
      <c r="F259" s="4" t="n">
        <v>62</v>
      </c>
      <c r="G259" s="17" t="s">
        <v>17</v>
      </c>
      <c r="H259" s="17" t="s">
        <v>11</v>
      </c>
      <c r="I259" s="4" t="n">
        <f aca="false">E259*F259</f>
        <v>186</v>
      </c>
      <c r="J259" s="0" t="str">
        <f aca="false">TEXT(B259,"yyyy-mm")</f>
        <v>2026-08</v>
      </c>
    </row>
    <row r="260" customFormat="false" ht="15" hidden="false" customHeight="false" outlineLevel="0" collapsed="false">
      <c r="A260" s="0" t="s">
        <v>391</v>
      </c>
      <c r="B260" s="16" t="n">
        <v>46258</v>
      </c>
      <c r="C260" s="17" t="s">
        <v>188</v>
      </c>
      <c r="D260" s="17" t="s">
        <v>36</v>
      </c>
      <c r="E260" s="0" t="n">
        <v>1</v>
      </c>
      <c r="F260" s="4" t="n">
        <v>13.5</v>
      </c>
      <c r="G260" s="17" t="s">
        <v>19</v>
      </c>
      <c r="H260" s="17" t="s">
        <v>11</v>
      </c>
      <c r="I260" s="4" t="n">
        <f aca="false">E260*F260</f>
        <v>13.5</v>
      </c>
      <c r="J260" s="0" t="str">
        <f aca="false">TEXT(B260,"yyyy-mm")</f>
        <v>2026-08</v>
      </c>
    </row>
    <row r="261" customFormat="false" ht="15" hidden="false" customHeight="false" outlineLevel="0" collapsed="false">
      <c r="A261" s="0" t="s">
        <v>116</v>
      </c>
      <c r="B261" s="16" t="n">
        <v>46260</v>
      </c>
      <c r="C261" s="17" t="s">
        <v>118</v>
      </c>
      <c r="D261" s="17" t="s">
        <v>198</v>
      </c>
      <c r="E261" s="0" t="n">
        <v>3</v>
      </c>
      <c r="F261" s="4" t="n">
        <v>29</v>
      </c>
      <c r="G261" s="17" t="s">
        <v>20</v>
      </c>
      <c r="H261" s="17" t="s">
        <v>11</v>
      </c>
      <c r="I261" s="4" t="n">
        <f aca="false">E261*F261</f>
        <v>87</v>
      </c>
      <c r="J261" s="0" t="str">
        <f aca="false">TEXT(B261,"yyyy-mm")</f>
        <v>2026-08</v>
      </c>
    </row>
    <row r="262" customFormat="false" ht="15" hidden="false" customHeight="false" outlineLevel="0" collapsed="false">
      <c r="A262" s="0" t="s">
        <v>790</v>
      </c>
      <c r="B262" s="16" t="n">
        <v>46260</v>
      </c>
      <c r="C262" s="17" t="s">
        <v>150</v>
      </c>
      <c r="D262" s="17" t="s">
        <v>97</v>
      </c>
      <c r="E262" s="0" t="n">
        <v>2</v>
      </c>
      <c r="F262" s="4" t="n">
        <v>8.99</v>
      </c>
      <c r="G262" s="17" t="s">
        <v>19</v>
      </c>
      <c r="H262" s="17" t="s">
        <v>10</v>
      </c>
      <c r="I262" s="4" t="n">
        <f aca="false">E262*F262</f>
        <v>17.98</v>
      </c>
      <c r="J262" s="0" t="str">
        <f aca="false">TEXT(B262,"yyyy-mm")</f>
        <v>2026-08</v>
      </c>
    </row>
    <row r="263" customFormat="false" ht="15" hidden="false" customHeight="false" outlineLevel="0" collapsed="false">
      <c r="A263" s="0" t="s">
        <v>456</v>
      </c>
      <c r="B263" s="16" t="n">
        <v>46261</v>
      </c>
      <c r="C263" s="17" t="s">
        <v>123</v>
      </c>
      <c r="D263" s="17" t="s">
        <v>234</v>
      </c>
      <c r="E263" s="0" t="n">
        <v>2</v>
      </c>
      <c r="F263" s="4" t="n">
        <v>59.99</v>
      </c>
      <c r="G263" s="17" t="s">
        <v>17</v>
      </c>
      <c r="H263" s="17" t="s">
        <v>8</v>
      </c>
      <c r="I263" s="4" t="n">
        <f aca="false">E263*F263</f>
        <v>119.98</v>
      </c>
      <c r="J263" s="0" t="str">
        <f aca="false">TEXT(B263,"yyyy-mm")</f>
        <v>2026-08</v>
      </c>
    </row>
    <row r="264" customFormat="false" ht="15" hidden="false" customHeight="false" outlineLevel="0" collapsed="false">
      <c r="A264" s="13" t="s">
        <v>794</v>
      </c>
      <c r="B264" s="14" t="n">
        <v>46261</v>
      </c>
      <c r="C264" s="13" t="s">
        <v>250</v>
      </c>
      <c r="D264" s="13" t="s">
        <v>216</v>
      </c>
      <c r="E264" s="13" t="n">
        <v>2</v>
      </c>
      <c r="F264" s="15" t="n">
        <v>30</v>
      </c>
      <c r="G264" s="13" t="s">
        <v>19</v>
      </c>
      <c r="H264" s="13" t="s">
        <v>14</v>
      </c>
      <c r="I264" s="15" t="n">
        <f aca="false">E264*F264</f>
        <v>60</v>
      </c>
      <c r="J264" s="13" t="str">
        <f aca="false">TEXT(B264,"yyyy-mm")</f>
        <v>2026-08</v>
      </c>
    </row>
    <row r="265" customFormat="false" ht="15" hidden="false" customHeight="false" outlineLevel="0" collapsed="false">
      <c r="A265" s="0" t="s">
        <v>708</v>
      </c>
      <c r="B265" s="16" t="n">
        <v>46263</v>
      </c>
      <c r="C265" s="17" t="s">
        <v>133</v>
      </c>
      <c r="D265" s="17" t="s">
        <v>377</v>
      </c>
      <c r="E265" s="0" t="n">
        <v>3</v>
      </c>
      <c r="F265" s="4" t="n">
        <v>22</v>
      </c>
      <c r="G265" s="17" t="s">
        <v>18</v>
      </c>
      <c r="H265" s="17" t="s">
        <v>9</v>
      </c>
      <c r="I265" s="4" t="n">
        <f aca="false">E265*F265</f>
        <v>66</v>
      </c>
      <c r="J265" s="0" t="str">
        <f aca="false">TEXT(B265,"yyyy-mm")</f>
        <v>2026-08</v>
      </c>
    </row>
    <row r="266" customFormat="false" ht="15" hidden="false" customHeight="false" outlineLevel="0" collapsed="false">
      <c r="A266" s="0" t="s">
        <v>86</v>
      </c>
      <c r="B266" s="16" t="n">
        <v>46265</v>
      </c>
      <c r="C266" s="17" t="s">
        <v>45</v>
      </c>
      <c r="D266" s="17" t="s">
        <v>88</v>
      </c>
      <c r="E266" s="0" t="n">
        <v>2</v>
      </c>
      <c r="F266" s="4" t="n">
        <v>44</v>
      </c>
      <c r="G266" s="17" t="s">
        <v>20</v>
      </c>
      <c r="H266" s="17" t="s">
        <v>11</v>
      </c>
      <c r="I266" s="4" t="n">
        <f aca="false">E266*F266</f>
        <v>88</v>
      </c>
      <c r="J266" s="0" t="str">
        <f aca="false">TEXT(B266,"yyyy-mm")</f>
        <v>2026-08</v>
      </c>
    </row>
    <row r="267" customFormat="false" ht="15" hidden="false" customHeight="false" outlineLevel="0" collapsed="false">
      <c r="A267" s="0" t="s">
        <v>352</v>
      </c>
      <c r="B267" s="16" t="n">
        <v>46265</v>
      </c>
      <c r="C267" s="17" t="s">
        <v>295</v>
      </c>
      <c r="D267" s="17" t="s">
        <v>220</v>
      </c>
      <c r="E267" s="0" t="n">
        <v>3</v>
      </c>
      <c r="F267" s="4" t="n">
        <v>18.5</v>
      </c>
      <c r="G267" s="17" t="s">
        <v>17</v>
      </c>
      <c r="H267" s="17" t="s">
        <v>8</v>
      </c>
      <c r="I267" s="4" t="n">
        <f aca="false">E267*F267</f>
        <v>55.5</v>
      </c>
      <c r="J267" s="0" t="str">
        <f aca="false">TEXT(B267,"yyyy-mm")</f>
        <v>2026-08</v>
      </c>
    </row>
    <row r="268" customFormat="false" ht="15" hidden="false" customHeight="false" outlineLevel="0" collapsed="false">
      <c r="A268" s="0" t="s">
        <v>534</v>
      </c>
      <c r="B268" s="16" t="n">
        <v>46265</v>
      </c>
      <c r="C268" s="17" t="s">
        <v>79</v>
      </c>
      <c r="D268" s="17" t="s">
        <v>289</v>
      </c>
      <c r="E268" s="0" t="n">
        <v>3</v>
      </c>
      <c r="F268" s="4" t="n">
        <v>21</v>
      </c>
      <c r="G268" s="17" t="s">
        <v>19</v>
      </c>
      <c r="H268" s="17" t="s">
        <v>10</v>
      </c>
      <c r="I268" s="4" t="n">
        <f aca="false">E268*F268</f>
        <v>63</v>
      </c>
      <c r="J268" s="0" t="str">
        <f aca="false">TEXT(B268,"yyyy-mm")</f>
        <v>2026-08</v>
      </c>
    </row>
    <row r="269" customFormat="false" ht="15" hidden="false" customHeight="false" outlineLevel="0" collapsed="false">
      <c r="A269" s="0" t="s">
        <v>251</v>
      </c>
      <c r="B269" s="16" t="n">
        <v>46266</v>
      </c>
      <c r="C269" s="17" t="s">
        <v>253</v>
      </c>
      <c r="D269" s="17" t="s">
        <v>88</v>
      </c>
      <c r="E269" s="0" t="n">
        <v>1</v>
      </c>
      <c r="F269" s="4" t="n">
        <v>44</v>
      </c>
      <c r="G269" s="17" t="s">
        <v>17</v>
      </c>
      <c r="H269" s="17" t="s">
        <v>11</v>
      </c>
      <c r="I269" s="4" t="n">
        <f aca="false">E269*F269</f>
        <v>44</v>
      </c>
      <c r="J269" s="0" t="str">
        <f aca="false">TEXT(B269,"yyyy-mm")</f>
        <v>2026-09</v>
      </c>
    </row>
    <row r="270" customFormat="false" ht="15" hidden="false" customHeight="false" outlineLevel="0" collapsed="false">
      <c r="A270" s="0" t="s">
        <v>491</v>
      </c>
      <c r="B270" s="16" t="n">
        <v>46266</v>
      </c>
      <c r="C270" s="17" t="s">
        <v>492</v>
      </c>
      <c r="D270" s="17" t="s">
        <v>257</v>
      </c>
      <c r="E270" s="0" t="n">
        <v>3</v>
      </c>
      <c r="F270" s="4" t="n">
        <v>45</v>
      </c>
      <c r="G270" s="17" t="s">
        <v>17</v>
      </c>
      <c r="H270" s="17" t="s">
        <v>9</v>
      </c>
      <c r="I270" s="4" t="n">
        <f aca="false">E270*F270</f>
        <v>135</v>
      </c>
      <c r="J270" s="0" t="str">
        <f aca="false">TEXT(B270,"yyyy-mm")</f>
        <v>2026-09</v>
      </c>
    </row>
    <row r="271" customFormat="false" ht="15" hidden="false" customHeight="false" outlineLevel="0" collapsed="false">
      <c r="A271" s="0" t="s">
        <v>501</v>
      </c>
      <c r="B271" s="16" t="n">
        <v>46266</v>
      </c>
      <c r="C271" s="17" t="s">
        <v>79</v>
      </c>
      <c r="D271" s="17" t="s">
        <v>110</v>
      </c>
      <c r="E271" s="0" t="n">
        <v>3</v>
      </c>
      <c r="F271" s="4" t="n">
        <v>14</v>
      </c>
      <c r="G271" s="17" t="s">
        <v>20</v>
      </c>
      <c r="H271" s="17" t="s">
        <v>12</v>
      </c>
      <c r="I271" s="4" t="n">
        <f aca="false">E271*F271</f>
        <v>42</v>
      </c>
      <c r="J271" s="0" t="str">
        <f aca="false">TEXT(B271,"yyyy-mm")</f>
        <v>2026-09</v>
      </c>
    </row>
    <row r="272" customFormat="false" ht="15" hidden="false" customHeight="false" outlineLevel="0" collapsed="false">
      <c r="A272" s="0" t="s">
        <v>738</v>
      </c>
      <c r="B272" s="16" t="n">
        <v>46266</v>
      </c>
      <c r="C272" s="17" t="s">
        <v>253</v>
      </c>
      <c r="D272" s="17" t="s">
        <v>97</v>
      </c>
      <c r="E272" s="0" t="n">
        <v>2</v>
      </c>
      <c r="F272" s="4" t="n">
        <v>8.99</v>
      </c>
      <c r="G272" s="17" t="s">
        <v>18</v>
      </c>
      <c r="H272" s="17" t="s">
        <v>10</v>
      </c>
      <c r="I272" s="4" t="n">
        <f aca="false">E272*F272</f>
        <v>17.98</v>
      </c>
      <c r="J272" s="0" t="str">
        <f aca="false">TEXT(B272,"yyyy-mm")</f>
        <v>2026-09</v>
      </c>
    </row>
    <row r="273" customFormat="false" ht="15" hidden="false" customHeight="false" outlineLevel="0" collapsed="false">
      <c r="A273" s="0" t="s">
        <v>834</v>
      </c>
      <c r="B273" s="16" t="n">
        <v>46268</v>
      </c>
      <c r="C273" s="17" t="s">
        <v>45</v>
      </c>
      <c r="D273" s="17" t="s">
        <v>234</v>
      </c>
      <c r="E273" s="0" t="n">
        <v>2</v>
      </c>
      <c r="F273" s="4" t="n">
        <v>59.99</v>
      </c>
      <c r="G273" s="17" t="s">
        <v>20</v>
      </c>
      <c r="H273" s="17" t="s">
        <v>8</v>
      </c>
      <c r="I273" s="4" t="n">
        <f aca="false">E273*F273</f>
        <v>119.98</v>
      </c>
      <c r="J273" s="0" t="str">
        <f aca="false">TEXT(B273,"yyyy-mm")</f>
        <v>2026-09</v>
      </c>
    </row>
    <row r="274" customFormat="false" ht="15" hidden="false" customHeight="false" outlineLevel="0" collapsed="false">
      <c r="A274" s="0" t="s">
        <v>172</v>
      </c>
      <c r="B274" s="16" t="n">
        <v>46269</v>
      </c>
      <c r="C274" s="17" t="s">
        <v>174</v>
      </c>
      <c r="D274" s="17" t="s">
        <v>46</v>
      </c>
      <c r="E274" s="0" t="n">
        <v>1</v>
      </c>
      <c r="F274" s="4" t="n">
        <v>9.99</v>
      </c>
      <c r="G274" s="17" t="s">
        <v>19</v>
      </c>
      <c r="H274" s="17" t="s">
        <v>8</v>
      </c>
      <c r="I274" s="4" t="n">
        <f aca="false">E274*F274</f>
        <v>9.99</v>
      </c>
      <c r="J274" s="0" t="str">
        <f aca="false">TEXT(B274,"yyyy-mm")</f>
        <v>2026-09</v>
      </c>
    </row>
    <row r="275" customFormat="false" ht="15" hidden="false" customHeight="false" outlineLevel="0" collapsed="false">
      <c r="A275" s="0" t="s">
        <v>758</v>
      </c>
      <c r="B275" s="16" t="n">
        <v>46269</v>
      </c>
      <c r="C275" s="17" t="s">
        <v>267</v>
      </c>
      <c r="D275" s="17" t="s">
        <v>257</v>
      </c>
      <c r="E275" s="0" t="n">
        <v>1</v>
      </c>
      <c r="F275" s="4" t="n">
        <v>45</v>
      </c>
      <c r="G275" s="17" t="s">
        <v>20</v>
      </c>
      <c r="H275" s="17" t="s">
        <v>9</v>
      </c>
      <c r="I275" s="4" t="n">
        <f aca="false">E275*F275</f>
        <v>45</v>
      </c>
      <c r="J275" s="0" t="str">
        <f aca="false">TEXT(B275,"yyyy-mm")</f>
        <v>2026-09</v>
      </c>
    </row>
    <row r="276" customFormat="false" ht="15" hidden="false" customHeight="false" outlineLevel="0" collapsed="false">
      <c r="A276" s="0" t="s">
        <v>371</v>
      </c>
      <c r="B276" s="16" t="n">
        <v>46270</v>
      </c>
      <c r="C276" s="17" t="s">
        <v>114</v>
      </c>
      <c r="D276" s="17" t="s">
        <v>373</v>
      </c>
      <c r="E276" s="0" t="n">
        <v>2</v>
      </c>
      <c r="F276" s="4" t="n">
        <v>19.99</v>
      </c>
      <c r="G276" s="17" t="s">
        <v>17</v>
      </c>
      <c r="H276" s="17" t="s">
        <v>12</v>
      </c>
      <c r="I276" s="4" t="n">
        <f aca="false">E276*F276</f>
        <v>39.98</v>
      </c>
      <c r="J276" s="0" t="str">
        <f aca="false">TEXT(B276,"yyyy-mm")</f>
        <v>2026-09</v>
      </c>
    </row>
    <row r="277" customFormat="false" ht="15" hidden="false" customHeight="false" outlineLevel="0" collapsed="false">
      <c r="A277" s="0" t="s">
        <v>667</v>
      </c>
      <c r="B277" s="16" t="n">
        <v>46270</v>
      </c>
      <c r="C277" s="17" t="s">
        <v>92</v>
      </c>
      <c r="D277" s="17" t="s">
        <v>198</v>
      </c>
      <c r="E277" s="0" t="n">
        <v>4</v>
      </c>
      <c r="F277" s="4" t="n">
        <v>29</v>
      </c>
      <c r="G277" s="17" t="s">
        <v>18</v>
      </c>
      <c r="H277" s="17" t="s">
        <v>11</v>
      </c>
      <c r="I277" s="4" t="n">
        <f aca="false">E277*F277</f>
        <v>116</v>
      </c>
      <c r="J277" s="0" t="str">
        <f aca="false">TEXT(B277,"yyyy-mm")</f>
        <v>2026-09</v>
      </c>
    </row>
    <row r="278" customFormat="false" ht="15" hidden="false" customHeight="false" outlineLevel="0" collapsed="false">
      <c r="A278" s="0" t="s">
        <v>525</v>
      </c>
      <c r="B278" s="16" t="n">
        <v>46273</v>
      </c>
      <c r="C278" s="17" t="s">
        <v>250</v>
      </c>
      <c r="D278" s="17" t="s">
        <v>377</v>
      </c>
      <c r="E278" s="0" t="n">
        <v>4</v>
      </c>
      <c r="F278" s="4" t="n">
        <v>22</v>
      </c>
      <c r="G278" s="17" t="s">
        <v>17</v>
      </c>
      <c r="H278" s="17" t="s">
        <v>9</v>
      </c>
      <c r="I278" s="4" t="n">
        <f aca="false">E278*F278</f>
        <v>88</v>
      </c>
      <c r="J278" s="0" t="str">
        <f aca="false">TEXT(B278,"yyyy-mm")</f>
        <v>2026-09</v>
      </c>
    </row>
    <row r="279" customFormat="false" ht="15" hidden="false" customHeight="false" outlineLevel="0" collapsed="false">
      <c r="A279" s="0" t="s">
        <v>532</v>
      </c>
      <c r="B279" s="16" t="n">
        <v>46273</v>
      </c>
      <c r="C279" s="17" t="s">
        <v>253</v>
      </c>
      <c r="D279" s="17" t="s">
        <v>213</v>
      </c>
      <c r="E279" s="0" t="n">
        <v>2</v>
      </c>
      <c r="F279" s="4" t="n">
        <v>24.99</v>
      </c>
      <c r="G279" s="17" t="s">
        <v>17</v>
      </c>
      <c r="H279" s="17" t="s">
        <v>10</v>
      </c>
      <c r="I279" s="4" t="n">
        <f aca="false">E279*F279</f>
        <v>49.98</v>
      </c>
      <c r="J279" s="0" t="str">
        <f aca="false">TEXT(B279,"yyyy-mm")</f>
        <v>2026-09</v>
      </c>
    </row>
    <row r="280" customFormat="false" ht="15" hidden="false" customHeight="false" outlineLevel="0" collapsed="false">
      <c r="A280" s="0" t="s">
        <v>584</v>
      </c>
      <c r="B280" s="16" t="n">
        <v>46273</v>
      </c>
      <c r="C280" s="17" t="s">
        <v>106</v>
      </c>
      <c r="D280" s="17" t="s">
        <v>259</v>
      </c>
      <c r="E280" s="0" t="n">
        <v>3</v>
      </c>
      <c r="F280" s="4" t="n">
        <v>11</v>
      </c>
      <c r="G280" s="17" t="s">
        <v>18</v>
      </c>
      <c r="H280" s="17" t="s">
        <v>11</v>
      </c>
      <c r="I280" s="4" t="n">
        <f aca="false">E280*F280</f>
        <v>33</v>
      </c>
      <c r="J280" s="0" t="str">
        <f aca="false">TEXT(B280,"yyyy-mm")</f>
        <v>2026-09</v>
      </c>
    </row>
    <row r="281" customFormat="false" ht="15" hidden="false" customHeight="false" outlineLevel="0" collapsed="false">
      <c r="A281" s="0" t="s">
        <v>393</v>
      </c>
      <c r="B281" s="16" t="n">
        <v>46274</v>
      </c>
      <c r="C281" s="17" t="s">
        <v>65</v>
      </c>
      <c r="D281" s="17" t="s">
        <v>282</v>
      </c>
      <c r="E281" s="0" t="n">
        <v>2</v>
      </c>
      <c r="F281" s="4" t="n">
        <v>34</v>
      </c>
      <c r="G281" s="17" t="s">
        <v>19</v>
      </c>
      <c r="H281" s="17" t="s">
        <v>8</v>
      </c>
      <c r="I281" s="4" t="n">
        <f aca="false">E281*F281</f>
        <v>68</v>
      </c>
      <c r="J281" s="0" t="str">
        <f aca="false">TEXT(B281,"yyyy-mm")</f>
        <v>2026-09</v>
      </c>
    </row>
    <row r="282" customFormat="false" ht="15" hidden="false" customHeight="false" outlineLevel="0" collapsed="false">
      <c r="A282" s="0" t="s">
        <v>550</v>
      </c>
      <c r="B282" s="16" t="n">
        <v>46275</v>
      </c>
      <c r="C282" s="17" t="s">
        <v>256</v>
      </c>
      <c r="D282" s="17" t="s">
        <v>204</v>
      </c>
      <c r="E282" s="0" t="n">
        <v>4</v>
      </c>
      <c r="F282" s="4" t="n">
        <v>39</v>
      </c>
      <c r="G282" s="17" t="s">
        <v>18</v>
      </c>
      <c r="H282" s="17" t="s">
        <v>9</v>
      </c>
      <c r="I282" s="4" t="n">
        <f aca="false">E282*F282</f>
        <v>156</v>
      </c>
      <c r="J282" s="0" t="str">
        <f aca="false">TEXT(B282,"yyyy-mm")</f>
        <v>2026-09</v>
      </c>
    </row>
    <row r="283" customFormat="false" ht="15" hidden="false" customHeight="false" outlineLevel="0" collapsed="false">
      <c r="A283" s="0" t="s">
        <v>756</v>
      </c>
      <c r="B283" s="16" t="n">
        <v>46275</v>
      </c>
      <c r="C283" s="17" t="s">
        <v>228</v>
      </c>
      <c r="D283" s="17" t="s">
        <v>204</v>
      </c>
      <c r="E283" s="0" t="n">
        <v>4</v>
      </c>
      <c r="F283" s="4" t="n">
        <v>39</v>
      </c>
      <c r="G283" s="17" t="s">
        <v>19</v>
      </c>
      <c r="H283" s="17" t="s">
        <v>9</v>
      </c>
      <c r="I283" s="4" t="n">
        <f aca="false">E283*F283</f>
        <v>156</v>
      </c>
      <c r="J283" s="0" t="str">
        <f aca="false">TEXT(B283,"yyyy-mm")</f>
        <v>2026-09</v>
      </c>
    </row>
    <row r="284" customFormat="false" ht="15" hidden="false" customHeight="false" outlineLevel="0" collapsed="false">
      <c r="A284" s="0" t="s">
        <v>767</v>
      </c>
      <c r="B284" s="16" t="n">
        <v>46275</v>
      </c>
      <c r="C284" s="17" t="s">
        <v>368</v>
      </c>
      <c r="D284" s="17" t="s">
        <v>289</v>
      </c>
      <c r="E284" s="0" t="n">
        <v>1</v>
      </c>
      <c r="F284" s="4" t="n">
        <v>21</v>
      </c>
      <c r="G284" s="17" t="s">
        <v>19</v>
      </c>
      <c r="H284" s="17" t="s">
        <v>10</v>
      </c>
      <c r="I284" s="4" t="n">
        <f aca="false">E284*F284</f>
        <v>21</v>
      </c>
      <c r="J284" s="0" t="str">
        <f aca="false">TEXT(B284,"yyyy-mm")</f>
        <v>2026-09</v>
      </c>
    </row>
    <row r="285" customFormat="false" ht="15" hidden="false" customHeight="false" outlineLevel="0" collapsed="false">
      <c r="A285" s="0" t="s">
        <v>829</v>
      </c>
      <c r="B285" s="16" t="n">
        <v>46275</v>
      </c>
      <c r="C285" s="17" t="s">
        <v>83</v>
      </c>
      <c r="D285" s="17" t="s">
        <v>84</v>
      </c>
      <c r="E285" s="0" t="n">
        <v>3</v>
      </c>
      <c r="F285" s="4" t="n">
        <v>28</v>
      </c>
      <c r="G285" s="17" t="s">
        <v>19</v>
      </c>
      <c r="H285" s="17" t="s">
        <v>9</v>
      </c>
      <c r="I285" s="4" t="n">
        <f aca="false">E285*F285</f>
        <v>84</v>
      </c>
      <c r="J285" s="0" t="str">
        <f aca="false">TEXT(B285,"yyyy-mm")</f>
        <v>2026-09</v>
      </c>
    </row>
    <row r="286" customFormat="false" ht="15" hidden="false" customHeight="false" outlineLevel="0" collapsed="false">
      <c r="A286" s="0" t="s">
        <v>847</v>
      </c>
      <c r="B286" s="16" t="n">
        <v>46275</v>
      </c>
      <c r="C286" s="17" t="s">
        <v>188</v>
      </c>
      <c r="D286" s="17" t="s">
        <v>282</v>
      </c>
      <c r="E286" s="0" t="n">
        <v>1</v>
      </c>
      <c r="F286" s="4" t="n">
        <v>34</v>
      </c>
      <c r="G286" s="17" t="s">
        <v>20</v>
      </c>
      <c r="H286" s="17" t="s">
        <v>8</v>
      </c>
      <c r="I286" s="4" t="n">
        <f aca="false">E286*F286</f>
        <v>34</v>
      </c>
      <c r="J286" s="0" t="str">
        <f aca="false">TEXT(B286,"yyyy-mm")</f>
        <v>2026-09</v>
      </c>
    </row>
    <row r="287" customFormat="false" ht="15" hidden="false" customHeight="false" outlineLevel="0" collapsed="false">
      <c r="A287" s="0" t="s">
        <v>72</v>
      </c>
      <c r="B287" s="16" t="n">
        <v>46277</v>
      </c>
      <c r="C287" s="17" t="s">
        <v>74</v>
      </c>
      <c r="D287" s="17" t="s">
        <v>84</v>
      </c>
      <c r="E287" s="0" t="n">
        <v>4</v>
      </c>
      <c r="F287" s="4" t="n">
        <v>28</v>
      </c>
      <c r="G287" s="17" t="s">
        <v>18</v>
      </c>
      <c r="H287" s="17" t="s">
        <v>9</v>
      </c>
      <c r="I287" s="4" t="n">
        <f aca="false">E287*F287</f>
        <v>112</v>
      </c>
      <c r="J287" s="0" t="str">
        <f aca="false">TEXT(B287,"yyyy-mm")</f>
        <v>2026-09</v>
      </c>
    </row>
    <row r="288" customFormat="false" ht="15" hidden="false" customHeight="false" outlineLevel="0" collapsed="false">
      <c r="A288" s="0" t="s">
        <v>248</v>
      </c>
      <c r="B288" s="16" t="n">
        <v>46278</v>
      </c>
      <c r="C288" s="17" t="s">
        <v>250</v>
      </c>
      <c r="D288" s="17" t="s">
        <v>259</v>
      </c>
      <c r="E288" s="0" t="n">
        <v>4</v>
      </c>
      <c r="F288" s="4" t="n">
        <v>11</v>
      </c>
      <c r="G288" s="17" t="s">
        <v>18</v>
      </c>
      <c r="H288" s="17" t="s">
        <v>11</v>
      </c>
      <c r="I288" s="4" t="n">
        <f aca="false">E288*F288</f>
        <v>44</v>
      </c>
      <c r="J288" s="0" t="str">
        <f aca="false">TEXT(B288,"yyyy-mm")</f>
        <v>2026-09</v>
      </c>
    </row>
    <row r="289" customFormat="false" ht="15" hidden="false" customHeight="false" outlineLevel="0" collapsed="false">
      <c r="A289" s="0" t="s">
        <v>345</v>
      </c>
      <c r="B289" s="16" t="n">
        <v>46278</v>
      </c>
      <c r="C289" s="17" t="s">
        <v>347</v>
      </c>
      <c r="D289" s="17" t="s">
        <v>338</v>
      </c>
      <c r="E289" s="0" t="n">
        <v>1</v>
      </c>
      <c r="F289" s="4" t="n">
        <v>16.5</v>
      </c>
      <c r="G289" s="17" t="s">
        <v>17</v>
      </c>
      <c r="H289" s="17" t="s">
        <v>12</v>
      </c>
      <c r="I289" s="4" t="n">
        <f aca="false">E289*F289</f>
        <v>16.5</v>
      </c>
      <c r="J289" s="0" t="str">
        <f aca="false">TEXT(B289,"yyyy-mm")</f>
        <v>2026-09</v>
      </c>
    </row>
    <row r="290" customFormat="false" ht="15" hidden="false" customHeight="false" outlineLevel="0" collapsed="false">
      <c r="A290" s="0" t="s">
        <v>622</v>
      </c>
      <c r="B290" s="16" t="n">
        <v>46278</v>
      </c>
      <c r="C290" s="17" t="s">
        <v>243</v>
      </c>
      <c r="D290" s="17" t="s">
        <v>84</v>
      </c>
      <c r="E290" s="0" t="n">
        <v>2</v>
      </c>
      <c r="F290" s="4" t="n">
        <v>28</v>
      </c>
      <c r="G290" s="17" t="s">
        <v>20</v>
      </c>
      <c r="H290" s="17" t="s">
        <v>9</v>
      </c>
      <c r="I290" s="4" t="n">
        <f aca="false">E290*F290</f>
        <v>56</v>
      </c>
      <c r="J290" s="0" t="str">
        <f aca="false">TEXT(B290,"yyyy-mm")</f>
        <v>2026-09</v>
      </c>
    </row>
    <row r="291" customFormat="false" ht="15" hidden="false" customHeight="false" outlineLevel="0" collapsed="false">
      <c r="A291" s="0" t="s">
        <v>661</v>
      </c>
      <c r="B291" s="16" t="n">
        <v>46278</v>
      </c>
      <c r="C291" s="17" t="s">
        <v>438</v>
      </c>
      <c r="D291" s="17" t="s">
        <v>36</v>
      </c>
      <c r="E291" s="0" t="n">
        <v>2</v>
      </c>
      <c r="F291" s="4" t="n">
        <v>13.5</v>
      </c>
      <c r="G291" s="17" t="s">
        <v>17</v>
      </c>
      <c r="H291" s="17" t="s">
        <v>11</v>
      </c>
      <c r="I291" s="4" t="n">
        <f aca="false">E291*F291</f>
        <v>27</v>
      </c>
      <c r="J291" s="0" t="str">
        <f aca="false">TEXT(B291,"yyyy-mm")</f>
        <v>2026-09</v>
      </c>
    </row>
    <row r="292" customFormat="false" ht="15" hidden="false" customHeight="false" outlineLevel="0" collapsed="false">
      <c r="A292" s="0" t="s">
        <v>630</v>
      </c>
      <c r="B292" s="16" t="n">
        <v>46279</v>
      </c>
      <c r="C292" s="17" t="s">
        <v>577</v>
      </c>
      <c r="D292" s="17" t="s">
        <v>88</v>
      </c>
      <c r="E292" s="0" t="n">
        <v>4</v>
      </c>
      <c r="F292" s="4" t="n">
        <v>44</v>
      </c>
      <c r="G292" s="17" t="s">
        <v>18</v>
      </c>
      <c r="H292" s="17" t="s">
        <v>11</v>
      </c>
      <c r="I292" s="4" t="n">
        <f aca="false">E292*F292</f>
        <v>176</v>
      </c>
      <c r="J292" s="0" t="str">
        <f aca="false">TEXT(B292,"yyyy-mm")</f>
        <v>2026-09</v>
      </c>
    </row>
    <row r="293" customFormat="false" ht="15" hidden="false" customHeight="false" outlineLevel="0" collapsed="false">
      <c r="A293" s="0" t="s">
        <v>752</v>
      </c>
      <c r="B293" s="16" t="n">
        <v>46279</v>
      </c>
      <c r="C293" s="17" t="s">
        <v>123</v>
      </c>
      <c r="D293" s="17" t="s">
        <v>282</v>
      </c>
      <c r="E293" s="0" t="n">
        <v>2</v>
      </c>
      <c r="F293" s="4" t="n">
        <v>34</v>
      </c>
      <c r="G293" s="17" t="s">
        <v>19</v>
      </c>
      <c r="H293" s="17" t="s">
        <v>8</v>
      </c>
      <c r="I293" s="4" t="n">
        <f aca="false">E293*F293</f>
        <v>68</v>
      </c>
      <c r="J293" s="0" t="str">
        <f aca="false">TEXT(B293,"yyyy-mm")</f>
        <v>2026-09</v>
      </c>
    </row>
    <row r="294" customFormat="false" ht="15" hidden="false" customHeight="false" outlineLevel="0" collapsed="false">
      <c r="A294" s="0" t="s">
        <v>167</v>
      </c>
      <c r="B294" s="16" t="n">
        <v>46281</v>
      </c>
      <c r="C294" s="17" t="s">
        <v>169</v>
      </c>
      <c r="D294" s="17" t="s">
        <v>170</v>
      </c>
      <c r="E294" s="0" t="n">
        <v>3</v>
      </c>
      <c r="F294" s="4" t="n">
        <v>36</v>
      </c>
      <c r="G294" s="17" t="s">
        <v>19</v>
      </c>
      <c r="H294" s="17" t="s">
        <v>10</v>
      </c>
      <c r="I294" s="4" t="n">
        <f aca="false">E294*F294</f>
        <v>108</v>
      </c>
      <c r="J294" s="0" t="str">
        <f aca="false">TEXT(B294,"yyyy-mm")</f>
        <v>2026-09</v>
      </c>
    </row>
    <row r="295" customFormat="false" ht="15" hidden="false" customHeight="false" outlineLevel="0" collapsed="false">
      <c r="A295" s="0" t="s">
        <v>489</v>
      </c>
      <c r="B295" s="16" t="n">
        <v>46281</v>
      </c>
      <c r="C295" s="17" t="s">
        <v>40</v>
      </c>
      <c r="D295" s="17" t="s">
        <v>302</v>
      </c>
      <c r="E295" s="0" t="n">
        <v>4</v>
      </c>
      <c r="F295" s="4" t="n">
        <v>42</v>
      </c>
      <c r="G295" s="17" t="s">
        <v>20</v>
      </c>
      <c r="H295" s="17" t="s">
        <v>8</v>
      </c>
      <c r="I295" s="4" t="n">
        <f aca="false">E295*F295</f>
        <v>168</v>
      </c>
      <c r="J295" s="0" t="str">
        <f aca="false">TEXT(B295,"yyyy-mm")</f>
        <v>2026-09</v>
      </c>
    </row>
    <row r="296" customFormat="false" ht="15" hidden="false" customHeight="false" outlineLevel="0" collapsed="false">
      <c r="A296" s="0" t="s">
        <v>639</v>
      </c>
      <c r="B296" s="16" t="n">
        <v>46282</v>
      </c>
      <c r="C296" s="17" t="s">
        <v>295</v>
      </c>
      <c r="D296" s="17" t="s">
        <v>110</v>
      </c>
      <c r="E296" s="0" t="n">
        <v>4</v>
      </c>
      <c r="F296" s="4" t="n">
        <v>14</v>
      </c>
      <c r="G296" s="17" t="s">
        <v>19</v>
      </c>
      <c r="H296" s="17" t="s">
        <v>12</v>
      </c>
      <c r="I296" s="4" t="n">
        <f aca="false">E296*F296</f>
        <v>56</v>
      </c>
      <c r="J296" s="0" t="str">
        <f aca="false">TEXT(B296,"yyyy-mm")</f>
        <v>2026-09</v>
      </c>
    </row>
    <row r="297" customFormat="false" ht="15" hidden="false" customHeight="false" outlineLevel="0" collapsed="false">
      <c r="A297" s="0" t="s">
        <v>845</v>
      </c>
      <c r="B297" s="16" t="n">
        <v>46282</v>
      </c>
      <c r="C297" s="17" t="s">
        <v>101</v>
      </c>
      <c r="D297" s="17" t="s">
        <v>377</v>
      </c>
      <c r="E297" s="0" t="n">
        <v>4</v>
      </c>
      <c r="F297" s="4" t="n">
        <v>22</v>
      </c>
      <c r="G297" s="17" t="s">
        <v>20</v>
      </c>
      <c r="H297" s="17" t="s">
        <v>9</v>
      </c>
      <c r="I297" s="4" t="n">
        <f aca="false">E297*F297</f>
        <v>88</v>
      </c>
      <c r="J297" s="0" t="str">
        <f aca="false">TEXT(B297,"yyyy-mm")</f>
        <v>2026-09</v>
      </c>
    </row>
    <row r="298" customFormat="false" ht="15" hidden="false" customHeight="false" outlineLevel="0" collapsed="false">
      <c r="A298" s="0" t="s">
        <v>411</v>
      </c>
      <c r="B298" s="16" t="n">
        <v>46284</v>
      </c>
      <c r="C298" s="17" t="s">
        <v>256</v>
      </c>
      <c r="D298" s="17" t="s">
        <v>312</v>
      </c>
      <c r="E298" s="0" t="n">
        <v>2</v>
      </c>
      <c r="F298" s="4" t="n">
        <v>9.5</v>
      </c>
      <c r="G298" s="17" t="s">
        <v>19</v>
      </c>
      <c r="H298" s="17" t="s">
        <v>13</v>
      </c>
      <c r="I298" s="4" t="n">
        <f aca="false">E298*F298</f>
        <v>19</v>
      </c>
      <c r="J298" s="0" t="str">
        <f aca="false">TEXT(B298,"yyyy-mm")</f>
        <v>2026-09</v>
      </c>
    </row>
    <row r="299" customFormat="false" ht="15" hidden="false" customHeight="false" outlineLevel="0" collapsed="false">
      <c r="A299" s="0" t="s">
        <v>43</v>
      </c>
      <c r="B299" s="16" t="n">
        <v>46285</v>
      </c>
      <c r="C299" s="17" t="s">
        <v>45</v>
      </c>
      <c r="D299" s="17" t="s">
        <v>46</v>
      </c>
      <c r="E299" s="0" t="n">
        <v>1</v>
      </c>
      <c r="F299" s="4" t="n">
        <v>9.99</v>
      </c>
      <c r="G299" s="17" t="s">
        <v>18</v>
      </c>
      <c r="H299" s="17" t="s">
        <v>8</v>
      </c>
      <c r="I299" s="4" t="n">
        <f aca="false">E299*F299</f>
        <v>9.99</v>
      </c>
      <c r="J299" s="0" t="str">
        <f aca="false">TEXT(B299,"yyyy-mm")</f>
        <v>2026-09</v>
      </c>
    </row>
    <row r="300" customFormat="false" ht="15" hidden="false" customHeight="false" outlineLevel="0" collapsed="false">
      <c r="A300" s="0" t="s">
        <v>197</v>
      </c>
      <c r="B300" s="16" t="n">
        <v>46285</v>
      </c>
      <c r="C300" s="17" t="s">
        <v>159</v>
      </c>
      <c r="D300" s="17" t="s">
        <v>198</v>
      </c>
      <c r="E300" s="0" t="n">
        <v>1</v>
      </c>
      <c r="F300" s="4" t="n">
        <v>29</v>
      </c>
      <c r="G300" s="17" t="s">
        <v>19</v>
      </c>
      <c r="H300" s="17" t="s">
        <v>11</v>
      </c>
      <c r="I300" s="4" t="n">
        <f aca="false">E300*F300</f>
        <v>29</v>
      </c>
      <c r="J300" s="0" t="str">
        <f aca="false">TEXT(B300,"yyyy-mm")</f>
        <v>2026-09</v>
      </c>
    </row>
    <row r="301" customFormat="false" ht="15" hidden="false" customHeight="false" outlineLevel="0" collapsed="false">
      <c r="A301" s="0" t="s">
        <v>616</v>
      </c>
      <c r="B301" s="16" t="n">
        <v>46285</v>
      </c>
      <c r="C301" s="17" t="s">
        <v>60</v>
      </c>
      <c r="D301" s="17" t="s">
        <v>229</v>
      </c>
      <c r="E301" s="0" t="n">
        <v>1</v>
      </c>
      <c r="F301" s="4" t="n">
        <v>31.5</v>
      </c>
      <c r="G301" s="17" t="s">
        <v>19</v>
      </c>
      <c r="H301" s="17" t="s">
        <v>9</v>
      </c>
      <c r="I301" s="4" t="n">
        <f aca="false">E301*F301</f>
        <v>31.5</v>
      </c>
      <c r="J301" s="0" t="str">
        <f aca="false">TEXT(B301,"yyyy-mm")</f>
        <v>2026-09</v>
      </c>
    </row>
    <row r="302" customFormat="false" ht="15" hidden="false" customHeight="false" outlineLevel="0" collapsed="false">
      <c r="A302" s="0" t="s">
        <v>805</v>
      </c>
      <c r="B302" s="16" t="n">
        <v>46285</v>
      </c>
      <c r="C302" s="17" t="s">
        <v>492</v>
      </c>
      <c r="D302" s="17" t="s">
        <v>93</v>
      </c>
      <c r="E302" s="0" t="n">
        <v>1</v>
      </c>
      <c r="F302" s="4" t="n">
        <v>17</v>
      </c>
      <c r="G302" s="17" t="s">
        <v>17</v>
      </c>
      <c r="H302" s="17" t="s">
        <v>10</v>
      </c>
      <c r="I302" s="4" t="n">
        <f aca="false">E302*F302</f>
        <v>17</v>
      </c>
      <c r="J302" s="0" t="str">
        <f aca="false">TEXT(B302,"yyyy-mm")</f>
        <v>2026-09</v>
      </c>
    </row>
    <row r="303" customFormat="false" ht="15" hidden="false" customHeight="false" outlineLevel="0" collapsed="false">
      <c r="A303" s="0" t="s">
        <v>38</v>
      </c>
      <c r="B303" s="16" t="n">
        <v>46286</v>
      </c>
      <c r="C303" s="17" t="s">
        <v>40</v>
      </c>
      <c r="D303" s="17" t="s">
        <v>257</v>
      </c>
      <c r="E303" s="0" t="n">
        <v>3</v>
      </c>
      <c r="F303" s="4" t="n">
        <v>45</v>
      </c>
      <c r="G303" s="17" t="s">
        <v>19</v>
      </c>
      <c r="H303" s="17" t="s">
        <v>9</v>
      </c>
      <c r="I303" s="4" t="n">
        <f aca="false">E303*F303</f>
        <v>135</v>
      </c>
      <c r="J303" s="0" t="str">
        <f aca="false">TEXT(B303,"yyyy-mm")</f>
        <v>2026-09</v>
      </c>
    </row>
    <row r="304" customFormat="false" ht="15" hidden="false" customHeight="false" outlineLevel="0" collapsed="false">
      <c r="A304" s="0" t="s">
        <v>512</v>
      </c>
      <c r="B304" s="16" t="n">
        <v>46286</v>
      </c>
      <c r="C304" s="17" t="s">
        <v>159</v>
      </c>
      <c r="D304" s="17" t="s">
        <v>56</v>
      </c>
      <c r="E304" s="0" t="n">
        <v>2</v>
      </c>
      <c r="F304" s="4" t="n">
        <v>15.99</v>
      </c>
      <c r="G304" s="17" t="s">
        <v>18</v>
      </c>
      <c r="H304" s="17" t="s">
        <v>10</v>
      </c>
      <c r="I304" s="4" t="n">
        <f aca="false">E304*F304</f>
        <v>31.98</v>
      </c>
      <c r="J304" s="0" t="str">
        <f aca="false">TEXT(B304,"yyyy-mm")</f>
        <v>2026-09</v>
      </c>
    </row>
    <row r="305" customFormat="false" ht="15" hidden="false" customHeight="false" outlineLevel="0" collapsed="false">
      <c r="A305" s="0" t="s">
        <v>646</v>
      </c>
      <c r="B305" s="16" t="n">
        <v>46286</v>
      </c>
      <c r="C305" s="17" t="s">
        <v>109</v>
      </c>
      <c r="D305" s="17" t="s">
        <v>259</v>
      </c>
      <c r="E305" s="0" t="n">
        <v>3</v>
      </c>
      <c r="F305" s="4" t="n">
        <v>11</v>
      </c>
      <c r="G305" s="17" t="s">
        <v>17</v>
      </c>
      <c r="H305" s="17" t="s">
        <v>11</v>
      </c>
      <c r="I305" s="4" t="n">
        <f aca="false">E305*F305</f>
        <v>33</v>
      </c>
      <c r="J305" s="0" t="str">
        <f aca="false">TEXT(B305,"yyyy-mm")</f>
        <v>2026-09</v>
      </c>
    </row>
    <row r="306" customFormat="false" ht="15" hidden="false" customHeight="false" outlineLevel="0" collapsed="false">
      <c r="A306" s="0" t="s">
        <v>802</v>
      </c>
      <c r="B306" s="16" t="n">
        <v>46287</v>
      </c>
      <c r="C306" s="17" t="s">
        <v>492</v>
      </c>
      <c r="D306" s="17" t="s">
        <v>56</v>
      </c>
      <c r="E306" s="0" t="n">
        <v>1</v>
      </c>
      <c r="F306" s="4" t="n">
        <v>15.99</v>
      </c>
      <c r="G306" s="17" t="s">
        <v>18</v>
      </c>
      <c r="H306" s="17" t="s">
        <v>10</v>
      </c>
      <c r="I306" s="4" t="n">
        <f aca="false">E306*F306</f>
        <v>15.99</v>
      </c>
      <c r="J306" s="0" t="str">
        <f aca="false">TEXT(B306,"yyyy-mm")</f>
        <v>2026-09</v>
      </c>
    </row>
    <row r="307" customFormat="false" ht="15" hidden="false" customHeight="false" outlineLevel="0" collapsed="false">
      <c r="A307" s="0" t="s">
        <v>812</v>
      </c>
      <c r="B307" s="16" t="n">
        <v>46287</v>
      </c>
      <c r="C307" s="17" t="s">
        <v>267</v>
      </c>
      <c r="D307" s="17" t="s">
        <v>681</v>
      </c>
      <c r="E307" s="0" t="n">
        <v>2</v>
      </c>
      <c r="F307" s="4" t="n">
        <v>15</v>
      </c>
      <c r="G307" s="17" t="s">
        <v>20</v>
      </c>
      <c r="H307" s="17" t="s">
        <v>13</v>
      </c>
      <c r="I307" s="4" t="n">
        <f aca="false">E307*F307</f>
        <v>30</v>
      </c>
      <c r="J307" s="0" t="str">
        <f aca="false">TEXT(B307,"yyyy-mm")</f>
        <v>2026-09</v>
      </c>
    </row>
    <row r="308" customFormat="false" ht="15" hidden="false" customHeight="false" outlineLevel="0" collapsed="false">
      <c r="A308" s="0" t="s">
        <v>226</v>
      </c>
      <c r="B308" s="16" t="n">
        <v>46288</v>
      </c>
      <c r="C308" s="17" t="s">
        <v>228</v>
      </c>
      <c r="D308" s="17" t="s">
        <v>229</v>
      </c>
      <c r="E308" s="0" t="n">
        <v>4</v>
      </c>
      <c r="F308" s="4" t="n">
        <v>31.5</v>
      </c>
      <c r="G308" s="17" t="s">
        <v>19</v>
      </c>
      <c r="H308" s="17" t="s">
        <v>9</v>
      </c>
      <c r="I308" s="4" t="n">
        <f aca="false">E308*F308</f>
        <v>126</v>
      </c>
      <c r="J308" s="0" t="str">
        <f aca="false">TEXT(B308,"yyyy-mm")</f>
        <v>2026-09</v>
      </c>
    </row>
    <row r="309" customFormat="false" ht="15" hidden="false" customHeight="false" outlineLevel="0" collapsed="false">
      <c r="A309" s="0" t="s">
        <v>418</v>
      </c>
      <c r="B309" s="16" t="n">
        <v>46288</v>
      </c>
      <c r="C309" s="17" t="s">
        <v>45</v>
      </c>
      <c r="D309" s="17" t="s">
        <v>84</v>
      </c>
      <c r="E309" s="0" t="n">
        <v>1</v>
      </c>
      <c r="F309" s="4" t="n">
        <v>28</v>
      </c>
      <c r="G309" s="17" t="s">
        <v>20</v>
      </c>
      <c r="H309" s="17" t="s">
        <v>9</v>
      </c>
      <c r="I309" s="4" t="n">
        <f aca="false">E309*F309</f>
        <v>28</v>
      </c>
      <c r="J309" s="0" t="str">
        <f aca="false">TEXT(B309,"yyyy-mm")</f>
        <v>2026-09</v>
      </c>
    </row>
    <row r="310" customFormat="false" ht="15" hidden="false" customHeight="false" outlineLevel="0" collapsed="false">
      <c r="A310" s="0" t="s">
        <v>218</v>
      </c>
      <c r="B310" s="16" t="n">
        <v>46290</v>
      </c>
      <c r="C310" s="17" t="s">
        <v>150</v>
      </c>
      <c r="D310" s="17" t="s">
        <v>220</v>
      </c>
      <c r="E310" s="0" t="n">
        <v>4</v>
      </c>
      <c r="F310" s="4" t="n">
        <v>18.5</v>
      </c>
      <c r="G310" s="17" t="s">
        <v>18</v>
      </c>
      <c r="H310" s="17" t="s">
        <v>8</v>
      </c>
      <c r="I310" s="4" t="n">
        <f aca="false">E310*F310</f>
        <v>74</v>
      </c>
      <c r="J310" s="0" t="str">
        <f aca="false">TEXT(B310,"yyyy-mm")</f>
        <v>2026-09</v>
      </c>
    </row>
    <row r="311" customFormat="false" ht="15" hidden="false" customHeight="false" outlineLevel="0" collapsed="false">
      <c r="A311" s="0" t="s">
        <v>542</v>
      </c>
      <c r="B311" s="16" t="n">
        <v>46290</v>
      </c>
      <c r="C311" s="17" t="s">
        <v>106</v>
      </c>
      <c r="D311" s="17" t="s">
        <v>302</v>
      </c>
      <c r="E311" s="0" t="n">
        <v>3</v>
      </c>
      <c r="F311" s="4" t="n">
        <v>42</v>
      </c>
      <c r="G311" s="17" t="s">
        <v>17</v>
      </c>
      <c r="H311" s="17" t="s">
        <v>8</v>
      </c>
      <c r="I311" s="4" t="n">
        <f aca="false">E311*F311</f>
        <v>126</v>
      </c>
      <c r="J311" s="0" t="str">
        <f aca="false">TEXT(B311,"yyyy-mm")</f>
        <v>2026-09</v>
      </c>
    </row>
    <row r="312" customFormat="false" ht="15" hidden="false" customHeight="false" outlineLevel="0" collapsed="false">
      <c r="A312" s="0" t="s">
        <v>610</v>
      </c>
      <c r="B312" s="16" t="n">
        <v>46290</v>
      </c>
      <c r="C312" s="17" t="s">
        <v>331</v>
      </c>
      <c r="D312" s="17" t="s">
        <v>373</v>
      </c>
      <c r="E312" s="0" t="n">
        <v>1</v>
      </c>
      <c r="F312" s="4" t="n">
        <v>19.99</v>
      </c>
      <c r="G312" s="17" t="s">
        <v>20</v>
      </c>
      <c r="H312" s="17" t="s">
        <v>12</v>
      </c>
      <c r="I312" s="4" t="n">
        <f aca="false">E312*F312</f>
        <v>19.99</v>
      </c>
      <c r="J312" s="0" t="str">
        <f aca="false">TEXT(B312,"yyyy-mm")</f>
        <v>2026-09</v>
      </c>
    </row>
    <row r="313" customFormat="false" ht="15" hidden="false" customHeight="false" outlineLevel="0" collapsed="false">
      <c r="A313" s="0" t="s">
        <v>135</v>
      </c>
      <c r="B313" s="16" t="n">
        <v>46291</v>
      </c>
      <c r="C313" s="17" t="s">
        <v>137</v>
      </c>
      <c r="D313" s="17" t="s">
        <v>302</v>
      </c>
      <c r="E313" s="0" t="n">
        <v>2</v>
      </c>
      <c r="F313" s="4" t="n">
        <v>42</v>
      </c>
      <c r="G313" s="17" t="s">
        <v>19</v>
      </c>
      <c r="H313" s="17" t="s">
        <v>8</v>
      </c>
      <c r="I313" s="4" t="n">
        <f aca="false">E313*F313</f>
        <v>84</v>
      </c>
      <c r="J313" s="0" t="str">
        <f aca="false">TEXT(B313,"yyyy-mm")</f>
        <v>2026-09</v>
      </c>
    </row>
    <row r="314" customFormat="false" ht="15" hidden="false" customHeight="false" outlineLevel="0" collapsed="false">
      <c r="A314" s="0" t="s">
        <v>413</v>
      </c>
      <c r="B314" s="16" t="n">
        <v>46291</v>
      </c>
      <c r="C314" s="17" t="s">
        <v>128</v>
      </c>
      <c r="D314" s="17" t="s">
        <v>239</v>
      </c>
      <c r="E314" s="0" t="n">
        <v>4</v>
      </c>
      <c r="F314" s="4" t="n">
        <v>14.99</v>
      </c>
      <c r="G314" s="17" t="s">
        <v>20</v>
      </c>
      <c r="H314" s="17" t="s">
        <v>11</v>
      </c>
      <c r="I314" s="4" t="n">
        <f aca="false">E314*F314</f>
        <v>59.96</v>
      </c>
      <c r="J314" s="0" t="str">
        <f aca="false">TEXT(B314,"yyyy-mm")</f>
        <v>2026-09</v>
      </c>
    </row>
    <row r="315" customFormat="false" ht="15" hidden="false" customHeight="false" outlineLevel="0" collapsed="false">
      <c r="A315" s="0" t="s">
        <v>649</v>
      </c>
      <c r="B315" s="16" t="n">
        <v>46291</v>
      </c>
      <c r="C315" s="17" t="s">
        <v>133</v>
      </c>
      <c r="D315" s="17" t="s">
        <v>377</v>
      </c>
      <c r="E315" s="0" t="n">
        <v>2</v>
      </c>
      <c r="F315" s="4" t="n">
        <v>22</v>
      </c>
      <c r="G315" s="17" t="s">
        <v>20</v>
      </c>
      <c r="H315" s="17" t="s">
        <v>9</v>
      </c>
      <c r="I315" s="4" t="n">
        <f aca="false">E315*F315</f>
        <v>44</v>
      </c>
      <c r="J315" s="0" t="str">
        <f aca="false">TEXT(B315,"yyyy-mm")</f>
        <v>2026-09</v>
      </c>
    </row>
    <row r="316" customFormat="false" ht="15" hidden="false" customHeight="false" outlineLevel="0" collapsed="false">
      <c r="A316" s="0" t="s">
        <v>848</v>
      </c>
      <c r="B316" s="16" t="n">
        <v>46291</v>
      </c>
      <c r="C316" s="17" t="s">
        <v>50</v>
      </c>
      <c r="D316" s="17" t="s">
        <v>102</v>
      </c>
      <c r="E316" s="0" t="n">
        <v>2</v>
      </c>
      <c r="F316" s="4" t="n">
        <v>7.5</v>
      </c>
      <c r="G316" s="17" t="s">
        <v>17</v>
      </c>
      <c r="H316" s="17" t="s">
        <v>12</v>
      </c>
      <c r="I316" s="4" t="n">
        <f aca="false">E316*F316</f>
        <v>15</v>
      </c>
      <c r="J316" s="0" t="str">
        <f aca="false">TEXT(B316,"yyyy-mm")</f>
        <v>2026-09</v>
      </c>
    </row>
    <row r="317" customFormat="false" ht="15" hidden="false" customHeight="false" outlineLevel="0" collapsed="false">
      <c r="A317" s="0" t="s">
        <v>839</v>
      </c>
      <c r="B317" s="16" t="n">
        <v>46292</v>
      </c>
      <c r="C317" s="17" t="s">
        <v>492</v>
      </c>
      <c r="D317" s="17" t="s">
        <v>377</v>
      </c>
      <c r="E317" s="0" t="n">
        <v>3</v>
      </c>
      <c r="F317" s="4" t="n">
        <v>22</v>
      </c>
      <c r="G317" s="17" t="s">
        <v>19</v>
      </c>
      <c r="H317" s="17" t="s">
        <v>9</v>
      </c>
      <c r="I317" s="4" t="n">
        <f aca="false">E317*F317</f>
        <v>66</v>
      </c>
      <c r="J317" s="0" t="str">
        <f aca="false">TEXT(B317,"yyyy-mm")</f>
        <v>2026-09</v>
      </c>
    </row>
    <row r="318" customFormat="false" ht="15" hidden="false" customHeight="false" outlineLevel="0" collapsed="false">
      <c r="A318" s="0" t="s">
        <v>77</v>
      </c>
      <c r="B318" s="16" t="n">
        <v>46294</v>
      </c>
      <c r="C318" s="17" t="s">
        <v>79</v>
      </c>
      <c r="D318" s="17" t="s">
        <v>80</v>
      </c>
      <c r="E318" s="0" t="n">
        <v>2</v>
      </c>
      <c r="F318" s="4" t="n">
        <v>27.99</v>
      </c>
      <c r="G318" s="17" t="s">
        <v>17</v>
      </c>
      <c r="H318" s="17" t="s">
        <v>8</v>
      </c>
      <c r="I318" s="4" t="n">
        <f aca="false">E318*F318</f>
        <v>55.98</v>
      </c>
      <c r="J318" s="0" t="str">
        <f aca="false">TEXT(B318,"yyyy-mm")</f>
        <v>2026-09</v>
      </c>
    </row>
    <row r="319" customFormat="false" ht="15" hidden="false" customHeight="false" outlineLevel="0" collapsed="false">
      <c r="A319" s="0" t="s">
        <v>547</v>
      </c>
      <c r="B319" s="16" t="n">
        <v>46294</v>
      </c>
      <c r="C319" s="17" t="s">
        <v>549</v>
      </c>
      <c r="D319" s="17" t="s">
        <v>377</v>
      </c>
      <c r="E319" s="0" t="n">
        <v>2</v>
      </c>
      <c r="F319" s="4" t="n">
        <v>22</v>
      </c>
      <c r="G319" s="17" t="s">
        <v>18</v>
      </c>
      <c r="H319" s="17" t="s">
        <v>9</v>
      </c>
      <c r="I319" s="4" t="n">
        <f aca="false">E319*F319</f>
        <v>44</v>
      </c>
      <c r="J319" s="0" t="str">
        <f aca="false">TEXT(B319,"yyyy-mm")</f>
        <v>2026-09</v>
      </c>
    </row>
    <row r="320" customFormat="false" ht="15" hidden="false" customHeight="false" outlineLevel="0" collapsed="false">
      <c r="A320" s="0" t="s">
        <v>273</v>
      </c>
      <c r="B320" s="16" t="n">
        <v>46295</v>
      </c>
      <c r="C320" s="17" t="s">
        <v>243</v>
      </c>
      <c r="D320" s="17" t="s">
        <v>56</v>
      </c>
      <c r="E320" s="0" t="n">
        <v>3</v>
      </c>
      <c r="F320" s="4" t="n">
        <v>15.99</v>
      </c>
      <c r="G320" s="17" t="s">
        <v>17</v>
      </c>
      <c r="H320" s="17" t="s">
        <v>10</v>
      </c>
      <c r="I320" s="4" t="n">
        <f aca="false">E320*F320</f>
        <v>47.97</v>
      </c>
      <c r="J320" s="0" t="str">
        <f aca="false">TEXT(B320,"yyyy-mm")</f>
        <v>2026-09</v>
      </c>
    </row>
    <row r="321" customFormat="false" ht="15" hidden="false" customHeight="false" outlineLevel="0" collapsed="false">
      <c r="A321" s="0" t="s">
        <v>811</v>
      </c>
      <c r="B321" s="16" t="n">
        <v>46295</v>
      </c>
      <c r="C321" s="17" t="s">
        <v>233</v>
      </c>
      <c r="D321" s="17" t="s">
        <v>129</v>
      </c>
      <c r="E321" s="0" t="n">
        <v>1</v>
      </c>
      <c r="F321" s="4" t="n">
        <v>11.99</v>
      </c>
      <c r="G321" s="17" t="s">
        <v>17</v>
      </c>
      <c r="H321" s="17" t="s">
        <v>13</v>
      </c>
      <c r="I321" s="4" t="n">
        <f aca="false">E321*F321</f>
        <v>11.99</v>
      </c>
      <c r="J321" s="0" t="str">
        <f aca="false">TEXT(B321,"yyyy-mm")</f>
        <v>2026-09</v>
      </c>
    </row>
  </sheetData>
  <autoFilter ref="A1:J3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2" t="s">
        <v>2</v>
      </c>
      <c r="B1" s="12" t="s">
        <v>858</v>
      </c>
    </row>
    <row r="2" customFormat="false" ht="15" hidden="false" customHeight="false" outlineLevel="0" collapsed="false">
      <c r="A2" s="0" t="s">
        <v>8</v>
      </c>
      <c r="B2" s="0" t="s">
        <v>859</v>
      </c>
    </row>
    <row r="3" customFormat="false" ht="15" hidden="false" customHeight="false" outlineLevel="0" collapsed="false">
      <c r="A3" s="0" t="s">
        <v>9</v>
      </c>
      <c r="B3" s="0" t="s">
        <v>860</v>
      </c>
    </row>
    <row r="4" customFormat="false" ht="15" hidden="false" customHeight="false" outlineLevel="0" collapsed="false">
      <c r="A4" s="0" t="s">
        <v>10</v>
      </c>
      <c r="B4" s="0" t="s">
        <v>861</v>
      </c>
    </row>
    <row r="5" customFormat="false" ht="15" hidden="false" customHeight="false" outlineLevel="0" collapsed="false">
      <c r="A5" s="0" t="s">
        <v>11</v>
      </c>
      <c r="B5" s="0" t="s">
        <v>862</v>
      </c>
    </row>
    <row r="6" customFormat="false" ht="15" hidden="false" customHeight="false" outlineLevel="0" collapsed="false">
      <c r="A6" s="0" t="s">
        <v>12</v>
      </c>
      <c r="B6" s="0" t="s">
        <v>863</v>
      </c>
    </row>
    <row r="7" customFormat="false" ht="15" hidden="false" customHeight="false" outlineLevel="0" collapsed="false">
      <c r="A7" s="0" t="s">
        <v>13</v>
      </c>
      <c r="B7" s="0" t="s">
        <v>864</v>
      </c>
    </row>
    <row r="8" customFormat="false" ht="15" hidden="false" customHeight="false" outlineLevel="0" collapsed="false">
      <c r="A8" s="0" t="s">
        <v>14</v>
      </c>
      <c r="B8" s="0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2026-10-05T10:24:45Z</dcterms:created>
  <dc:creator>openpyxl</dc:creator>
  <dc:description/>
  <dc:language>en-US</dc:language>
  <cp:lastModifiedBy/>
  <dcterms:modified xsi:type="dcterms:W3CDTF">2026-10-05T10:24:45Z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