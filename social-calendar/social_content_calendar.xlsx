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Calendar" sheetId="2" state="visible" r:id="rId4"/>
  </sheets>
  <definedNames>
    <definedName function="false" hidden="true" localSheetId="1" name="_xlnm._FilterDatabase" vbProcedure="false">Calendar!$A$1:$L$31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<sst xmlns="http://schemas.openxmlformats.org/spreadsheetml/2006/main" count="337" uniqueCount="149">
  <si>
    <t xml:space="preserve">30-Day Content Plan: Copperpot Coffee Roasters</t>
  </si>
  <si>
    <t xml:space="preserve">Sample project - fictional brand. Counts below are live formulas over the Calendar sheet.</t>
  </si>
  <si>
    <t xml:space="preserve">Content pillar</t>
  </si>
  <si>
    <t xml:space="preserve">Posts</t>
  </si>
  <si>
    <t xml:space="preserve">How the plan is built</t>
  </si>
  <si>
    <t xml:space="preserve">Educate</t>
  </si>
  <si>
    <t xml:space="preserve">One post a day across three platforms, weighted to where the audience is.</t>
  </si>
  <si>
    <t xml:space="preserve">Behind the scenes</t>
  </si>
  <si>
    <t xml:space="preserve">Five pillars so the feed is not all selling: roughly one offer post in ten.</t>
  </si>
  <si>
    <t xml:space="preserve">Product</t>
  </si>
  <si>
    <t xml:space="preserve">Every post has a hook written for the first line and one clear call to action.</t>
  </si>
  <si>
    <t xml:space="preserve">Community</t>
  </si>
  <si>
    <t xml:space="preserve">Status column is a dropdown, so the team can track drafted, approved, scheduled, posted.</t>
  </si>
  <si>
    <t xml:space="preserve">Offer</t>
  </si>
  <si>
    <t xml:space="preserve">Post times are starting points. Adjust them from the account's own insights after two weeks.</t>
  </si>
  <si>
    <t xml:space="preserve">Platform</t>
  </si>
  <si>
    <t xml:space="preserve">Instagram</t>
  </si>
  <si>
    <t xml:space="preserve">TikTok</t>
  </si>
  <si>
    <t xml:space="preserve">Facebook</t>
  </si>
  <si>
    <t xml:space="preserve">Status</t>
  </si>
  <si>
    <t xml:space="preserve">Planned</t>
  </si>
  <si>
    <t xml:space="preserve">Drafted</t>
  </si>
  <si>
    <t xml:space="preserve">Approved</t>
  </si>
  <si>
    <t xml:space="preserve">Scheduled</t>
  </si>
  <si>
    <t xml:space="preserve">Posted</t>
  </si>
  <si>
    <t xml:space="preserve">Date</t>
  </si>
  <si>
    <t xml:space="preserve">Day</t>
  </si>
  <si>
    <t xml:space="preserve">Week</t>
  </si>
  <si>
    <t xml:space="preserve">Format</t>
  </si>
  <si>
    <t xml:space="preserve">Hook / caption</t>
  </si>
  <si>
    <t xml:space="preserve">Call to action</t>
  </si>
  <si>
    <t xml:space="preserve">Hashtags</t>
  </si>
  <si>
    <t xml:space="preserve">Post time</t>
  </si>
  <si>
    <t xml:space="preserve">Owner</t>
  </si>
  <si>
    <t xml:space="preserve">Mon</t>
  </si>
  <si>
    <t xml:space="preserve">Week 1</t>
  </si>
  <si>
    <t xml:space="preserve">Carousel</t>
  </si>
  <si>
    <t xml:space="preserve">Your coffee tastes bitter for one of three reasons. Swipe to find yours.</t>
  </si>
  <si>
    <t xml:space="preserve">Save for your next brew</t>
  </si>
  <si>
    <t xml:space="preserve">#coffeetips #homebarista</t>
  </si>
  <si>
    <t xml:space="preserve">18:30</t>
  </si>
  <si>
    <t xml:space="preserve">Tue</t>
  </si>
  <si>
    <t xml:space="preserve">Video 20s</t>
  </si>
  <si>
    <t xml:space="preserve">5am at the roastery. This is what 12 kilos of beans sounds like when it hits first crack.</t>
  </si>
  <si>
    <t xml:space="preserve">Follow for roast days</t>
  </si>
  <si>
    <t xml:space="preserve">#coffeeroaster #smallbusiness</t>
  </si>
  <si>
    <t xml:space="preserve">19:00</t>
  </si>
  <si>
    <t xml:space="preserve">Wed</t>
  </si>
  <si>
    <t xml:space="preserve">Photo</t>
  </si>
  <si>
    <t xml:space="preserve">New in: Kenya AA. Blackcurrant, brown sugar, and a finish that stays with you.</t>
  </si>
  <si>
    <t xml:space="preserve">Shop the new roast</t>
  </si>
  <si>
    <t xml:space="preserve">#newcoffee</t>
  </si>
  <si>
    <t xml:space="preserve">12:30</t>
  </si>
  <si>
    <t xml:space="preserve">Thu</t>
  </si>
  <si>
    <t xml:space="preserve">Story poll</t>
  </si>
  <si>
    <t xml:space="preserve">Milk first or coffee first? Settle this.</t>
  </si>
  <si>
    <t xml:space="preserve">Vote in stories</t>
  </si>
  <si>
    <t xml:space="preserve">Fri</t>
  </si>
  <si>
    <t xml:space="preserve">Reel 30s</t>
  </si>
  <si>
    <t xml:space="preserve">The 30-second trick that fixes a sour pour-over: grind one step finer.</t>
  </si>
  <si>
    <t xml:space="preserve">Try it and tell us</t>
  </si>
  <si>
    <t xml:space="preserve">#pourover #coffeetips</t>
  </si>
  <si>
    <t xml:space="preserve">Sat</t>
  </si>
  <si>
    <t xml:space="preserve">Meet Dee, who has packed every order since day one. She says hi.</t>
  </si>
  <si>
    <t xml:space="preserve">Say hi back</t>
  </si>
  <si>
    <t xml:space="preserve">#meettheteam</t>
  </si>
  <si>
    <t xml:space="preserve">Sun</t>
  </si>
  <si>
    <t xml:space="preserve">Weekend only: free shipping on any two bags.</t>
  </si>
  <si>
    <t xml:space="preserve">Order by Sunday midnight</t>
  </si>
  <si>
    <t xml:space="preserve">#coffeedeal</t>
  </si>
  <si>
    <t xml:space="preserve">Week 2</t>
  </si>
  <si>
    <t xml:space="preserve">Video 25s</t>
  </si>
  <si>
    <t xml:space="preserve">Stop storing coffee in the fridge. Here is where it should go instead.</t>
  </si>
  <si>
    <t xml:space="preserve">Follow for part two</t>
  </si>
  <si>
    <t xml:space="preserve">#coffeehacks</t>
  </si>
  <si>
    <t xml:space="preserve">Three roasts, three moods: bright, balanced, bold. Which one are you this week?</t>
  </si>
  <si>
    <t xml:space="preserve">Comment your pick</t>
  </si>
  <si>
    <t xml:space="preserve">#coffeelover</t>
  </si>
  <si>
    <t xml:space="preserve">Share</t>
  </si>
  <si>
    <t xml:space="preserve">Customer photo of the week: Sam's camp-stove brew at sunrise.</t>
  </si>
  <si>
    <t xml:space="preserve">Tag us to be featured</t>
  </si>
  <si>
    <t xml:space="preserve">#brewedoutside</t>
  </si>
  <si>
    <t xml:space="preserve">Reel 20s</t>
  </si>
  <si>
    <t xml:space="preserve">From green bean to bag in 20 seconds.</t>
  </si>
  <si>
    <t xml:space="preserve">Watch to the end</t>
  </si>
  <si>
    <t xml:space="preserve">#roastery #howitsmade</t>
  </si>
  <si>
    <t xml:space="preserve">Grind size guide: French press, filter, espresso. Screenshot this.</t>
  </si>
  <si>
    <t xml:space="preserve">Save and share</t>
  </si>
  <si>
    <t xml:space="preserve">#grindsize #homebarista</t>
  </si>
  <si>
    <t xml:space="preserve">Duet</t>
  </si>
  <si>
    <t xml:space="preserve">Rating your home coffee setups. Honest reviews only.</t>
  </si>
  <si>
    <t xml:space="preserve">Stitch yours</t>
  </si>
  <si>
    <t xml:space="preserve">#coffeesetup</t>
  </si>
  <si>
    <t xml:space="preserve">The sampler box: four 100g bags, so you can find your favourite before you commit.</t>
  </si>
  <si>
    <t xml:space="preserve">Try the sampler</t>
  </si>
  <si>
    <t xml:space="preserve">#coffeegift</t>
  </si>
  <si>
    <t xml:space="preserve">Week 3</t>
  </si>
  <si>
    <t xml:space="preserve">Why we print the roast date on every bag, and what to look for at the supermarket.</t>
  </si>
  <si>
    <t xml:space="preserve">Check your bag at home</t>
  </si>
  <si>
    <t xml:space="preserve">#freshcoffee</t>
  </si>
  <si>
    <t xml:space="preserve">Video 15s</t>
  </si>
  <si>
    <t xml:space="preserve">Cupping day. Twelve spoons, one very caffeinated team.</t>
  </si>
  <si>
    <t xml:space="preserve">Guess the winner</t>
  </si>
  <si>
    <t xml:space="preserve">#cupping</t>
  </si>
  <si>
    <t xml:space="preserve">Story Q&amp;A</t>
  </si>
  <si>
    <t xml:space="preserve">Ask our head roaster anything.</t>
  </si>
  <si>
    <t xml:space="preserve">Drop a question</t>
  </si>
  <si>
    <t xml:space="preserve">Link</t>
  </si>
  <si>
    <t xml:space="preserve">Blog: the beginner's guide to brewing better coffee at home.</t>
  </si>
  <si>
    <t xml:space="preserve">Read the guide</t>
  </si>
  <si>
    <t xml:space="preserve">#coffeeguide</t>
  </si>
  <si>
    <t xml:space="preserve">Decaf that does not taste like a compromise. Swiss Water process, roasted this week.</t>
  </si>
  <si>
    <t xml:space="preserve">Shop decaf</t>
  </si>
  <si>
    <t xml:space="preserve">#decaf</t>
  </si>
  <si>
    <t xml:space="preserve">Where your coffee comes from: a visit to the co-op that grows our Colombia.</t>
  </si>
  <si>
    <t xml:space="preserve">Swipe for the story</t>
  </si>
  <si>
    <t xml:space="preserve">#coffeeorigin</t>
  </si>
  <si>
    <t xml:space="preserve">Subscribe and save 15%. Skip or cancel any time.</t>
  </si>
  <si>
    <t xml:space="preserve">Link in bio</t>
  </si>
  <si>
    <t xml:space="preserve">#coffeesubscription</t>
  </si>
  <si>
    <t xml:space="preserve">Week 4</t>
  </si>
  <si>
    <t xml:space="preserve">Water matters more than your machine. Here is the simple fix.</t>
  </si>
  <si>
    <t xml:space="preserve">Save for later</t>
  </si>
  <si>
    <t xml:space="preserve">#coffeetips</t>
  </si>
  <si>
    <t xml:space="preserve">We sent 40 kilos to the Saturday food bank breakfast this month. Thank you for making that possible.</t>
  </si>
  <si>
    <t xml:space="preserve">Learn more</t>
  </si>
  <si>
    <t xml:space="preserve">#community</t>
  </si>
  <si>
    <t xml:space="preserve">Blind taste test: our house blend against a supermarket bag.</t>
  </si>
  <si>
    <t xml:space="preserve">Watch the reaction</t>
  </si>
  <si>
    <t xml:space="preserve">#tastetest</t>
  </si>
  <si>
    <t xml:space="preserve">Reel 15s</t>
  </si>
  <si>
    <t xml:space="preserve">Packing orders with the radio on. Monday shift.</t>
  </si>
  <si>
    <t xml:space="preserve">Sound on</t>
  </si>
  <si>
    <t xml:space="preserve">#smallbusinesslife</t>
  </si>
  <si>
    <t xml:space="preserve">Cold brew in a jar: coffee, water, 16 hours. That is the whole recipe.</t>
  </si>
  <si>
    <t xml:space="preserve">Make it tonight</t>
  </si>
  <si>
    <t xml:space="preserve">#coldbrew</t>
  </si>
  <si>
    <t xml:space="preserve">Gift idea: the pour-over starter kit. Dripper, filters, and a bag of the house blend.</t>
  </si>
  <si>
    <t xml:space="preserve">Shop gifts</t>
  </si>
  <si>
    <t xml:space="preserve">Your best mugs. You sent photos, we picked ten.</t>
  </si>
  <si>
    <t xml:space="preserve">Tag a mug collector</t>
  </si>
  <si>
    <t xml:space="preserve">#mugshot</t>
  </si>
  <si>
    <t xml:space="preserve">Week 5</t>
  </si>
  <si>
    <t xml:space="preserve">Three espresso mistakes almost everyone makes at home.</t>
  </si>
  <si>
    <t xml:space="preserve">Follow for the fixes</t>
  </si>
  <si>
    <t xml:space="preserve">#espresso</t>
  </si>
  <si>
    <t xml:space="preserve">Month-end restock: last roast of November ships Friday.</t>
  </si>
  <si>
    <t xml:space="preserve">Order by Thursday</t>
  </si>
  <si>
    <t xml:space="preserve">#freshroast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</si>
</sst>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 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CE4D6"/>
      </patternFill>
    </fill>
    <fill>
      <patternFill patternType="solid">
        <fgColor rgb="FF2B2D4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B2D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COUNTIF(Calendar!E2:E31,A5)</f>
        <v>9</v>
      </c>
      <c r="D5" s="5" t="s">
        <v>6</v>
      </c>
    </row>
    <row r="6" customFormat="false" ht="15" hidden="false" customHeight="false" outlineLevel="0" collapsed="false">
      <c r="A6" s="6" t="s">
        <v>7</v>
      </c>
      <c r="B6" s="5" t="n">
        <f aca="false">COUNTIF(Calendar!E2:E31,A6)</f>
        <v>6</v>
      </c>
      <c r="D6" s="5" t="s">
        <v>8</v>
      </c>
    </row>
    <row r="7" customFormat="false" ht="15" hidden="false" customHeight="false" outlineLevel="0" collapsed="false">
      <c r="A7" s="7" t="s">
        <v>9</v>
      </c>
      <c r="B7" s="5" t="n">
        <f aca="false">COUNTIF(Calendar!E2:E31,A7)</f>
        <v>6</v>
      </c>
      <c r="D7" s="5" t="s">
        <v>10</v>
      </c>
    </row>
    <row r="8" customFormat="false" ht="15" hidden="false" customHeight="false" outlineLevel="0" collapsed="false">
      <c r="A8" s="8" t="s">
        <v>11</v>
      </c>
      <c r="B8" s="5" t="n">
        <f aca="false">COUNTIF(Calendar!E2:E31,A8)</f>
        <v>6</v>
      </c>
      <c r="D8" s="5" t="s">
        <v>12</v>
      </c>
    </row>
    <row r="9" customFormat="false" ht="15" hidden="false" customHeight="false" outlineLevel="0" collapsed="false">
      <c r="A9" s="9" t="s">
        <v>13</v>
      </c>
      <c r="B9" s="5" t="n">
        <f aca="false">COUNTIF(Calendar!E2:E31,A9)</f>
        <v>3</v>
      </c>
      <c r="D9" s="5" t="s">
        <v>14</v>
      </c>
    </row>
    <row r="11" customFormat="false" ht="15" hidden="false" customHeight="false" outlineLevel="0" collapsed="false">
      <c r="A11" s="3" t="s">
        <v>15</v>
      </c>
      <c r="B11" s="3" t="s">
        <v>3</v>
      </c>
    </row>
    <row r="12" customFormat="false" ht="15" hidden="false" customHeight="false" outlineLevel="0" collapsed="false">
      <c r="A12" s="0" t="s">
        <v>16</v>
      </c>
      <c r="B12" s="0" t="n">
        <f aca="false">COUNTIF(Calendar!D2:D31,A12)</f>
        <v>16</v>
      </c>
    </row>
    <row r="13" customFormat="false" ht="15" hidden="false" customHeight="false" outlineLevel="0" collapsed="false">
      <c r="A13" s="0" t="s">
        <v>17</v>
      </c>
      <c r="B13" s="0" t="n">
        <f aca="false">COUNTIF(Calendar!D2:D31,A13)</f>
        <v>7</v>
      </c>
    </row>
    <row r="14" customFormat="false" ht="15" hidden="false" customHeight="false" outlineLevel="0" collapsed="false">
      <c r="A14" s="0" t="s">
        <v>18</v>
      </c>
      <c r="B14" s="0" t="n">
        <f aca="false">COUNTIF(Calendar!D2:D31,A14)</f>
        <v>7</v>
      </c>
    </row>
    <row r="16" customFormat="false" ht="15" hidden="false" customHeight="false" outlineLevel="0" collapsed="false">
      <c r="A16" s="3" t="s">
        <v>19</v>
      </c>
      <c r="B16" s="3" t="s">
        <v>3</v>
      </c>
    </row>
    <row r="17" customFormat="false" ht="15" hidden="false" customHeight="false" outlineLevel="0" collapsed="false">
      <c r="A17" s="0" t="s">
        <v>20</v>
      </c>
      <c r="B17" s="0" t="n">
        <f aca="false">COUNTIF(Calendar!K2:K31,A17)</f>
        <v>30</v>
      </c>
    </row>
    <row r="18" customFormat="false" ht="15" hidden="false" customHeight="false" outlineLevel="0" collapsed="false">
      <c r="A18" s="0" t="s">
        <v>21</v>
      </c>
      <c r="B18" s="0" t="n">
        <f aca="false">COUNTIF(Calendar!K2:K31,A18)</f>
        <v>0</v>
      </c>
    </row>
    <row r="19" customFormat="false" ht="15" hidden="false" customHeight="false" outlineLevel="0" collapsed="false">
      <c r="A19" s="0" t="s">
        <v>22</v>
      </c>
      <c r="B19" s="0" t="n">
        <f aca="false">COUNTIF(Calendar!K2:K31,A19)</f>
        <v>0</v>
      </c>
    </row>
    <row r="20" customFormat="false" ht="15" hidden="false" customHeight="false" outlineLevel="0" collapsed="false">
      <c r="A20" s="0" t="s">
        <v>23</v>
      </c>
      <c r="B20" s="0" t="n">
        <f aca="false">COUNTIF(Calendar!K2:K31,A20)</f>
        <v>0</v>
      </c>
    </row>
    <row r="21" customFormat="false" ht="15" hidden="false" customHeight="false" outlineLevel="0" collapsed="false">
      <c r="A21" s="0" t="s">
        <v>24</v>
      </c>
      <c r="B21" s="0" t="n">
        <f aca="false">COUNTIF(Calendar!K2:K31,A21)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62"/>
    <col collapsed="false" customWidth="true" hidden="false" outlineLevel="0" max="8" min="8" style="0" width="24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0" t="s">
        <v>25</v>
      </c>
      <c r="B1" s="10" t="s">
        <v>26</v>
      </c>
      <c r="C1" s="10" t="s">
        <v>27</v>
      </c>
      <c r="D1" s="10" t="s">
        <v>15</v>
      </c>
      <c r="E1" s="10" t="s">
        <v>2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19</v>
      </c>
      <c r="L1" s="10" t="s">
        <v>33</v>
      </c>
    </row>
    <row r="2" customFormat="false" ht="15" hidden="false" customHeight="false" outlineLevel="0" collapsed="false">
      <c r="A2" s="11" t="n">
        <v>46328</v>
      </c>
      <c r="B2" s="12" t="s">
        <v>34</v>
      </c>
      <c r="C2" s="12" t="s">
        <v>35</v>
      </c>
      <c r="D2" s="12" t="s">
        <v>16</v>
      </c>
      <c r="E2" s="13" t="s">
        <v>5</v>
      </c>
      <c r="F2" s="12" t="s">
        <v>36</v>
      </c>
      <c r="G2" s="12" t="s">
        <v>37</v>
      </c>
      <c r="H2" s="12" t="s">
        <v>38</v>
      </c>
      <c r="I2" s="12" t="s">
        <v>39</v>
      </c>
      <c r="J2" s="12" t="s">
        <v>40</v>
      </c>
      <c r="K2" s="12" t="s">
        <v>20</v>
      </c>
      <c r="L2" s="12"/>
    </row>
    <row r="3" customFormat="false" ht="28.35" hidden="false" customHeight="false" outlineLevel="0" collapsed="false">
      <c r="A3" s="11" t="n">
        <v>46329</v>
      </c>
      <c r="B3" s="12" t="s">
        <v>41</v>
      </c>
      <c r="C3" s="12" t="s">
        <v>35</v>
      </c>
      <c r="D3" s="12" t="s">
        <v>17</v>
      </c>
      <c r="E3" s="14" t="s">
        <v>7</v>
      </c>
      <c r="F3" s="12" t="s">
        <v>42</v>
      </c>
      <c r="G3" s="12" t="s">
        <v>43</v>
      </c>
      <c r="H3" s="12" t="s">
        <v>44</v>
      </c>
      <c r="I3" s="12" t="s">
        <v>45</v>
      </c>
      <c r="J3" s="12" t="s">
        <v>46</v>
      </c>
      <c r="K3" s="12" t="s">
        <v>20</v>
      </c>
      <c r="L3" s="12"/>
    </row>
    <row r="4" customFormat="false" ht="28.35" hidden="false" customHeight="false" outlineLevel="0" collapsed="false">
      <c r="A4" s="11" t="n">
        <v>46330</v>
      </c>
      <c r="B4" s="12" t="s">
        <v>47</v>
      </c>
      <c r="C4" s="12" t="s">
        <v>35</v>
      </c>
      <c r="D4" s="12" t="s">
        <v>18</v>
      </c>
      <c r="E4" s="15" t="s">
        <v>9</v>
      </c>
      <c r="F4" s="12" t="s">
        <v>48</v>
      </c>
      <c r="G4" s="12" t="s">
        <v>49</v>
      </c>
      <c r="H4" s="12" t="s">
        <v>50</v>
      </c>
      <c r="I4" s="12" t="s">
        <v>51</v>
      </c>
      <c r="J4" s="12" t="s">
        <v>52</v>
      </c>
      <c r="K4" s="12" t="s">
        <v>20</v>
      </c>
      <c r="L4" s="12"/>
    </row>
    <row r="5" customFormat="false" ht="15" hidden="false" customHeight="false" outlineLevel="0" collapsed="false">
      <c r="A5" s="11" t="n">
        <v>46331</v>
      </c>
      <c r="B5" s="12" t="s">
        <v>53</v>
      </c>
      <c r="C5" s="12" t="s">
        <v>35</v>
      </c>
      <c r="D5" s="12" t="s">
        <v>16</v>
      </c>
      <c r="E5" s="16" t="s">
        <v>11</v>
      </c>
      <c r="F5" s="12" t="s">
        <v>54</v>
      </c>
      <c r="G5" s="12" t="s">
        <v>55</v>
      </c>
      <c r="H5" s="12" t="s">
        <v>56</v>
      </c>
      <c r="I5" s="12"/>
      <c r="J5" s="12" t="s">
        <v>40</v>
      </c>
      <c r="K5" s="12" t="s">
        <v>20</v>
      </c>
      <c r="L5" s="12"/>
    </row>
    <row r="6" customFormat="false" ht="15" hidden="false" customHeight="false" outlineLevel="0" collapsed="false">
      <c r="A6" s="11" t="n">
        <v>46332</v>
      </c>
      <c r="B6" s="12" t="s">
        <v>57</v>
      </c>
      <c r="C6" s="12" t="s">
        <v>35</v>
      </c>
      <c r="D6" s="12" t="s">
        <v>16</v>
      </c>
      <c r="E6" s="13" t="s">
        <v>5</v>
      </c>
      <c r="F6" s="12" t="s">
        <v>58</v>
      </c>
      <c r="G6" s="12" t="s">
        <v>59</v>
      </c>
      <c r="H6" s="12" t="s">
        <v>60</v>
      </c>
      <c r="I6" s="12" t="s">
        <v>61</v>
      </c>
      <c r="J6" s="12" t="s">
        <v>40</v>
      </c>
      <c r="K6" s="12" t="s">
        <v>20</v>
      </c>
      <c r="L6" s="12"/>
    </row>
    <row r="7" customFormat="false" ht="15" hidden="false" customHeight="false" outlineLevel="0" collapsed="false">
      <c r="A7" s="11" t="n">
        <v>46333</v>
      </c>
      <c r="B7" s="12" t="s">
        <v>62</v>
      </c>
      <c r="C7" s="12" t="s">
        <v>35</v>
      </c>
      <c r="D7" s="12" t="s">
        <v>18</v>
      </c>
      <c r="E7" s="14" t="s">
        <v>7</v>
      </c>
      <c r="F7" s="12" t="s">
        <v>48</v>
      </c>
      <c r="G7" s="12" t="s">
        <v>63</v>
      </c>
      <c r="H7" s="12" t="s">
        <v>64</v>
      </c>
      <c r="I7" s="12" t="s">
        <v>65</v>
      </c>
      <c r="J7" s="12" t="s">
        <v>52</v>
      </c>
      <c r="K7" s="12" t="s">
        <v>20</v>
      </c>
      <c r="L7" s="12"/>
    </row>
    <row r="8" customFormat="false" ht="15" hidden="false" customHeight="false" outlineLevel="0" collapsed="false">
      <c r="A8" s="11" t="n">
        <v>46334</v>
      </c>
      <c r="B8" s="12" t="s">
        <v>66</v>
      </c>
      <c r="C8" s="12" t="s">
        <v>35</v>
      </c>
      <c r="D8" s="12" t="s">
        <v>16</v>
      </c>
      <c r="E8" s="17" t="s">
        <v>13</v>
      </c>
      <c r="F8" s="12" t="s">
        <v>48</v>
      </c>
      <c r="G8" s="12" t="s">
        <v>67</v>
      </c>
      <c r="H8" s="12" t="s">
        <v>68</v>
      </c>
      <c r="I8" s="12" t="s">
        <v>69</v>
      </c>
      <c r="J8" s="12" t="s">
        <v>40</v>
      </c>
      <c r="K8" s="12" t="s">
        <v>20</v>
      </c>
      <c r="L8" s="12"/>
    </row>
    <row r="9" customFormat="false" ht="15" hidden="false" customHeight="false" outlineLevel="0" collapsed="false">
      <c r="A9" s="11" t="n">
        <v>46335</v>
      </c>
      <c r="B9" s="12" t="s">
        <v>34</v>
      </c>
      <c r="C9" s="12" t="s">
        <v>70</v>
      </c>
      <c r="D9" s="12" t="s">
        <v>17</v>
      </c>
      <c r="E9" s="13" t="s">
        <v>5</v>
      </c>
      <c r="F9" s="12" t="s">
        <v>71</v>
      </c>
      <c r="G9" s="12" t="s">
        <v>72</v>
      </c>
      <c r="H9" s="12" t="s">
        <v>73</v>
      </c>
      <c r="I9" s="12" t="s">
        <v>74</v>
      </c>
      <c r="J9" s="12" t="s">
        <v>46</v>
      </c>
      <c r="K9" s="12" t="s">
        <v>20</v>
      </c>
      <c r="L9" s="12"/>
    </row>
    <row r="10" customFormat="false" ht="28.35" hidden="false" customHeight="false" outlineLevel="0" collapsed="false">
      <c r="A10" s="11" t="n">
        <v>46336</v>
      </c>
      <c r="B10" s="12" t="s">
        <v>41</v>
      </c>
      <c r="C10" s="12" t="s">
        <v>70</v>
      </c>
      <c r="D10" s="12" t="s">
        <v>16</v>
      </c>
      <c r="E10" s="15" t="s">
        <v>9</v>
      </c>
      <c r="F10" s="12" t="s">
        <v>36</v>
      </c>
      <c r="G10" s="12" t="s">
        <v>75</v>
      </c>
      <c r="H10" s="12" t="s">
        <v>76</v>
      </c>
      <c r="I10" s="12" t="s">
        <v>77</v>
      </c>
      <c r="J10" s="12" t="s">
        <v>40</v>
      </c>
      <c r="K10" s="12" t="s">
        <v>20</v>
      </c>
      <c r="L10" s="12"/>
    </row>
    <row r="11" customFormat="false" ht="15" hidden="false" customHeight="false" outlineLevel="0" collapsed="false">
      <c r="A11" s="11" t="n">
        <v>46337</v>
      </c>
      <c r="B11" s="12" t="s">
        <v>47</v>
      </c>
      <c r="C11" s="12" t="s">
        <v>70</v>
      </c>
      <c r="D11" s="12" t="s">
        <v>18</v>
      </c>
      <c r="E11" s="16" t="s">
        <v>11</v>
      </c>
      <c r="F11" s="12" t="s">
        <v>78</v>
      </c>
      <c r="G11" s="12" t="s">
        <v>79</v>
      </c>
      <c r="H11" s="12" t="s">
        <v>80</v>
      </c>
      <c r="I11" s="12" t="s">
        <v>81</v>
      </c>
      <c r="J11" s="12" t="s">
        <v>52</v>
      </c>
      <c r="K11" s="12" t="s">
        <v>20</v>
      </c>
      <c r="L11" s="12"/>
    </row>
    <row r="12" customFormat="false" ht="15" hidden="false" customHeight="false" outlineLevel="0" collapsed="false">
      <c r="A12" s="11" t="n">
        <v>46338</v>
      </c>
      <c r="B12" s="12" t="s">
        <v>53</v>
      </c>
      <c r="C12" s="12" t="s">
        <v>70</v>
      </c>
      <c r="D12" s="12" t="s">
        <v>16</v>
      </c>
      <c r="E12" s="14" t="s">
        <v>7</v>
      </c>
      <c r="F12" s="12" t="s">
        <v>82</v>
      </c>
      <c r="G12" s="12" t="s">
        <v>83</v>
      </c>
      <c r="H12" s="12" t="s">
        <v>84</v>
      </c>
      <c r="I12" s="12" t="s">
        <v>85</v>
      </c>
      <c r="J12" s="12" t="s">
        <v>40</v>
      </c>
      <c r="K12" s="12" t="s">
        <v>20</v>
      </c>
      <c r="L12" s="12"/>
    </row>
    <row r="13" customFormat="false" ht="15" hidden="false" customHeight="false" outlineLevel="0" collapsed="false">
      <c r="A13" s="11" t="n">
        <v>46339</v>
      </c>
      <c r="B13" s="12" t="s">
        <v>57</v>
      </c>
      <c r="C13" s="12" t="s">
        <v>70</v>
      </c>
      <c r="D13" s="12" t="s">
        <v>16</v>
      </c>
      <c r="E13" s="13" t="s">
        <v>5</v>
      </c>
      <c r="F13" s="12" t="s">
        <v>36</v>
      </c>
      <c r="G13" s="12" t="s">
        <v>86</v>
      </c>
      <c r="H13" s="12" t="s">
        <v>87</v>
      </c>
      <c r="I13" s="12" t="s">
        <v>88</v>
      </c>
      <c r="J13" s="12" t="s">
        <v>40</v>
      </c>
      <c r="K13" s="12" t="s">
        <v>20</v>
      </c>
      <c r="L13" s="12"/>
    </row>
    <row r="14" customFormat="false" ht="15" hidden="false" customHeight="false" outlineLevel="0" collapsed="false">
      <c r="A14" s="11" t="n">
        <v>46340</v>
      </c>
      <c r="B14" s="12" t="s">
        <v>62</v>
      </c>
      <c r="C14" s="12" t="s">
        <v>70</v>
      </c>
      <c r="D14" s="12" t="s">
        <v>17</v>
      </c>
      <c r="E14" s="16" t="s">
        <v>11</v>
      </c>
      <c r="F14" s="12" t="s">
        <v>89</v>
      </c>
      <c r="G14" s="12" t="s">
        <v>90</v>
      </c>
      <c r="H14" s="12" t="s">
        <v>91</v>
      </c>
      <c r="I14" s="12" t="s">
        <v>92</v>
      </c>
      <c r="J14" s="12" t="s">
        <v>46</v>
      </c>
      <c r="K14" s="12" t="s">
        <v>20</v>
      </c>
      <c r="L14" s="12"/>
    </row>
    <row r="15" customFormat="false" ht="28.35" hidden="false" customHeight="false" outlineLevel="0" collapsed="false">
      <c r="A15" s="11" t="n">
        <v>46341</v>
      </c>
      <c r="B15" s="12" t="s">
        <v>66</v>
      </c>
      <c r="C15" s="12" t="s">
        <v>70</v>
      </c>
      <c r="D15" s="12" t="s">
        <v>18</v>
      </c>
      <c r="E15" s="15" t="s">
        <v>9</v>
      </c>
      <c r="F15" s="12" t="s">
        <v>48</v>
      </c>
      <c r="G15" s="12" t="s">
        <v>93</v>
      </c>
      <c r="H15" s="12" t="s">
        <v>94</v>
      </c>
      <c r="I15" s="12" t="s">
        <v>95</v>
      </c>
      <c r="J15" s="12" t="s">
        <v>52</v>
      </c>
      <c r="K15" s="12" t="s">
        <v>20</v>
      </c>
      <c r="L15" s="12"/>
    </row>
    <row r="16" customFormat="false" ht="28.35" hidden="false" customHeight="false" outlineLevel="0" collapsed="false">
      <c r="A16" s="11" t="n">
        <v>46342</v>
      </c>
      <c r="B16" s="12" t="s">
        <v>34</v>
      </c>
      <c r="C16" s="12" t="s">
        <v>96</v>
      </c>
      <c r="D16" s="12" t="s">
        <v>16</v>
      </c>
      <c r="E16" s="13" t="s">
        <v>5</v>
      </c>
      <c r="F16" s="12" t="s">
        <v>58</v>
      </c>
      <c r="G16" s="12" t="s">
        <v>97</v>
      </c>
      <c r="H16" s="12" t="s">
        <v>98</v>
      </c>
      <c r="I16" s="12" t="s">
        <v>99</v>
      </c>
      <c r="J16" s="12" t="s">
        <v>40</v>
      </c>
      <c r="K16" s="12" t="s">
        <v>20</v>
      </c>
      <c r="L16" s="12"/>
    </row>
    <row r="17" customFormat="false" ht="15" hidden="false" customHeight="false" outlineLevel="0" collapsed="false">
      <c r="A17" s="11" t="n">
        <v>46343</v>
      </c>
      <c r="B17" s="12" t="s">
        <v>41</v>
      </c>
      <c r="C17" s="12" t="s">
        <v>96</v>
      </c>
      <c r="D17" s="12" t="s">
        <v>17</v>
      </c>
      <c r="E17" s="14" t="s">
        <v>7</v>
      </c>
      <c r="F17" s="12" t="s">
        <v>100</v>
      </c>
      <c r="G17" s="12" t="s">
        <v>101</v>
      </c>
      <c r="H17" s="12" t="s">
        <v>102</v>
      </c>
      <c r="I17" s="12" t="s">
        <v>103</v>
      </c>
      <c r="J17" s="12" t="s">
        <v>46</v>
      </c>
      <c r="K17" s="12" t="s">
        <v>20</v>
      </c>
      <c r="L17" s="12"/>
    </row>
    <row r="18" customFormat="false" ht="15" hidden="false" customHeight="false" outlineLevel="0" collapsed="false">
      <c r="A18" s="11" t="n">
        <v>46344</v>
      </c>
      <c r="B18" s="12" t="s">
        <v>47</v>
      </c>
      <c r="C18" s="12" t="s">
        <v>96</v>
      </c>
      <c r="D18" s="12" t="s">
        <v>16</v>
      </c>
      <c r="E18" s="16" t="s">
        <v>11</v>
      </c>
      <c r="F18" s="12" t="s">
        <v>104</v>
      </c>
      <c r="G18" s="12" t="s">
        <v>105</v>
      </c>
      <c r="H18" s="12" t="s">
        <v>106</v>
      </c>
      <c r="I18" s="12"/>
      <c r="J18" s="12" t="s">
        <v>40</v>
      </c>
      <c r="K18" s="12" t="s">
        <v>20</v>
      </c>
      <c r="L18" s="12"/>
    </row>
    <row r="19" customFormat="false" ht="15" hidden="false" customHeight="false" outlineLevel="0" collapsed="false">
      <c r="A19" s="11" t="n">
        <v>46345</v>
      </c>
      <c r="B19" s="12" t="s">
        <v>53</v>
      </c>
      <c r="C19" s="12" t="s">
        <v>96</v>
      </c>
      <c r="D19" s="12" t="s">
        <v>18</v>
      </c>
      <c r="E19" s="13" t="s">
        <v>5</v>
      </c>
      <c r="F19" s="12" t="s">
        <v>107</v>
      </c>
      <c r="G19" s="12" t="s">
        <v>108</v>
      </c>
      <c r="H19" s="12" t="s">
        <v>109</v>
      </c>
      <c r="I19" s="12" t="s">
        <v>110</v>
      </c>
      <c r="J19" s="12" t="s">
        <v>52</v>
      </c>
      <c r="K19" s="12" t="s">
        <v>20</v>
      </c>
      <c r="L19" s="12"/>
    </row>
    <row r="20" customFormat="false" ht="28.35" hidden="false" customHeight="false" outlineLevel="0" collapsed="false">
      <c r="A20" s="11" t="n">
        <v>46346</v>
      </c>
      <c r="B20" s="12" t="s">
        <v>57</v>
      </c>
      <c r="C20" s="12" t="s">
        <v>96</v>
      </c>
      <c r="D20" s="12" t="s">
        <v>16</v>
      </c>
      <c r="E20" s="15" t="s">
        <v>9</v>
      </c>
      <c r="F20" s="12" t="s">
        <v>48</v>
      </c>
      <c r="G20" s="12" t="s">
        <v>111</v>
      </c>
      <c r="H20" s="12" t="s">
        <v>112</v>
      </c>
      <c r="I20" s="12" t="s">
        <v>113</v>
      </c>
      <c r="J20" s="12" t="s">
        <v>40</v>
      </c>
      <c r="K20" s="12" t="s">
        <v>20</v>
      </c>
      <c r="L20" s="12"/>
    </row>
    <row r="21" customFormat="false" ht="28.35" hidden="false" customHeight="false" outlineLevel="0" collapsed="false">
      <c r="A21" s="11" t="n">
        <v>46347</v>
      </c>
      <c r="B21" s="12" t="s">
        <v>62</v>
      </c>
      <c r="C21" s="12" t="s">
        <v>96</v>
      </c>
      <c r="D21" s="12" t="s">
        <v>16</v>
      </c>
      <c r="E21" s="14" t="s">
        <v>7</v>
      </c>
      <c r="F21" s="12" t="s">
        <v>36</v>
      </c>
      <c r="G21" s="12" t="s">
        <v>114</v>
      </c>
      <c r="H21" s="12" t="s">
        <v>115</v>
      </c>
      <c r="I21" s="12" t="s">
        <v>116</v>
      </c>
      <c r="J21" s="12" t="s">
        <v>40</v>
      </c>
      <c r="K21" s="12" t="s">
        <v>20</v>
      </c>
      <c r="L21" s="12"/>
    </row>
    <row r="22" customFormat="false" ht="15" hidden="false" customHeight="false" outlineLevel="0" collapsed="false">
      <c r="A22" s="11" t="n">
        <v>46348</v>
      </c>
      <c r="B22" s="12" t="s">
        <v>66</v>
      </c>
      <c r="C22" s="12" t="s">
        <v>96</v>
      </c>
      <c r="D22" s="12" t="s">
        <v>17</v>
      </c>
      <c r="E22" s="17" t="s">
        <v>13</v>
      </c>
      <c r="F22" s="12" t="s">
        <v>100</v>
      </c>
      <c r="G22" s="12" t="s">
        <v>117</v>
      </c>
      <c r="H22" s="12" t="s">
        <v>118</v>
      </c>
      <c r="I22" s="12" t="s">
        <v>119</v>
      </c>
      <c r="J22" s="12" t="s">
        <v>46</v>
      </c>
      <c r="K22" s="12" t="s">
        <v>20</v>
      </c>
      <c r="L22" s="12"/>
    </row>
    <row r="23" customFormat="false" ht="15" hidden="false" customHeight="false" outlineLevel="0" collapsed="false">
      <c r="A23" s="11" t="n">
        <v>46349</v>
      </c>
      <c r="B23" s="12" t="s">
        <v>34</v>
      </c>
      <c r="C23" s="12" t="s">
        <v>120</v>
      </c>
      <c r="D23" s="12" t="s">
        <v>16</v>
      </c>
      <c r="E23" s="13" t="s">
        <v>5</v>
      </c>
      <c r="F23" s="12" t="s">
        <v>36</v>
      </c>
      <c r="G23" s="12" t="s">
        <v>121</v>
      </c>
      <c r="H23" s="12" t="s">
        <v>122</v>
      </c>
      <c r="I23" s="12" t="s">
        <v>123</v>
      </c>
      <c r="J23" s="12" t="s">
        <v>40</v>
      </c>
      <c r="K23" s="12" t="s">
        <v>20</v>
      </c>
      <c r="L23" s="12"/>
    </row>
    <row r="24" customFormat="false" ht="28.35" hidden="false" customHeight="false" outlineLevel="0" collapsed="false">
      <c r="A24" s="11" t="n">
        <v>46350</v>
      </c>
      <c r="B24" s="12" t="s">
        <v>41</v>
      </c>
      <c r="C24" s="12" t="s">
        <v>120</v>
      </c>
      <c r="D24" s="12" t="s">
        <v>18</v>
      </c>
      <c r="E24" s="16" t="s">
        <v>11</v>
      </c>
      <c r="F24" s="12" t="s">
        <v>48</v>
      </c>
      <c r="G24" s="12" t="s">
        <v>124</v>
      </c>
      <c r="H24" s="12" t="s">
        <v>125</v>
      </c>
      <c r="I24" s="12" t="s">
        <v>126</v>
      </c>
      <c r="J24" s="12" t="s">
        <v>52</v>
      </c>
      <c r="K24" s="12" t="s">
        <v>20</v>
      </c>
      <c r="L24" s="12"/>
    </row>
    <row r="25" customFormat="false" ht="15" hidden="false" customHeight="false" outlineLevel="0" collapsed="false">
      <c r="A25" s="11" t="n">
        <v>46351</v>
      </c>
      <c r="B25" s="12" t="s">
        <v>47</v>
      </c>
      <c r="C25" s="12" t="s">
        <v>120</v>
      </c>
      <c r="D25" s="12" t="s">
        <v>17</v>
      </c>
      <c r="E25" s="15" t="s">
        <v>9</v>
      </c>
      <c r="F25" s="12" t="s">
        <v>42</v>
      </c>
      <c r="G25" s="12" t="s">
        <v>127</v>
      </c>
      <c r="H25" s="12" t="s">
        <v>128</v>
      </c>
      <c r="I25" s="12" t="s">
        <v>129</v>
      </c>
      <c r="J25" s="12" t="s">
        <v>46</v>
      </c>
      <c r="K25" s="12" t="s">
        <v>20</v>
      </c>
      <c r="L25" s="12"/>
    </row>
    <row r="26" customFormat="false" ht="15" hidden="false" customHeight="false" outlineLevel="0" collapsed="false">
      <c r="A26" s="11" t="n">
        <v>46352</v>
      </c>
      <c r="B26" s="12" t="s">
        <v>53</v>
      </c>
      <c r="C26" s="12" t="s">
        <v>120</v>
      </c>
      <c r="D26" s="12" t="s">
        <v>16</v>
      </c>
      <c r="E26" s="14" t="s">
        <v>7</v>
      </c>
      <c r="F26" s="12" t="s">
        <v>130</v>
      </c>
      <c r="G26" s="12" t="s">
        <v>131</v>
      </c>
      <c r="H26" s="12" t="s">
        <v>132</v>
      </c>
      <c r="I26" s="12" t="s">
        <v>133</v>
      </c>
      <c r="J26" s="12" t="s">
        <v>40</v>
      </c>
      <c r="K26" s="12" t="s">
        <v>20</v>
      </c>
      <c r="L26" s="12"/>
    </row>
    <row r="27" customFormat="false" ht="15" hidden="false" customHeight="false" outlineLevel="0" collapsed="false">
      <c r="A27" s="11" t="n">
        <v>46353</v>
      </c>
      <c r="B27" s="12" t="s">
        <v>57</v>
      </c>
      <c r="C27" s="12" t="s">
        <v>120</v>
      </c>
      <c r="D27" s="12" t="s">
        <v>16</v>
      </c>
      <c r="E27" s="13" t="s">
        <v>5</v>
      </c>
      <c r="F27" s="12" t="s">
        <v>58</v>
      </c>
      <c r="G27" s="12" t="s">
        <v>134</v>
      </c>
      <c r="H27" s="12" t="s">
        <v>135</v>
      </c>
      <c r="I27" s="12" t="s">
        <v>136</v>
      </c>
      <c r="J27" s="12" t="s">
        <v>40</v>
      </c>
      <c r="K27" s="12" t="s">
        <v>20</v>
      </c>
      <c r="L27" s="12"/>
    </row>
    <row r="28" customFormat="false" ht="28.35" hidden="false" customHeight="false" outlineLevel="0" collapsed="false">
      <c r="A28" s="11" t="n">
        <v>46354</v>
      </c>
      <c r="B28" s="12" t="s">
        <v>62</v>
      </c>
      <c r="C28" s="12" t="s">
        <v>120</v>
      </c>
      <c r="D28" s="12" t="s">
        <v>18</v>
      </c>
      <c r="E28" s="15" t="s">
        <v>9</v>
      </c>
      <c r="F28" s="12" t="s">
        <v>48</v>
      </c>
      <c r="G28" s="12" t="s">
        <v>137</v>
      </c>
      <c r="H28" s="12" t="s">
        <v>138</v>
      </c>
      <c r="I28" s="12" t="s">
        <v>95</v>
      </c>
      <c r="J28" s="12" t="s">
        <v>52</v>
      </c>
      <c r="K28" s="12" t="s">
        <v>20</v>
      </c>
      <c r="L28" s="12"/>
    </row>
    <row r="29" customFormat="false" ht="15" hidden="false" customHeight="false" outlineLevel="0" collapsed="false">
      <c r="A29" s="11" t="n">
        <v>46355</v>
      </c>
      <c r="B29" s="12" t="s">
        <v>66</v>
      </c>
      <c r="C29" s="12" t="s">
        <v>120</v>
      </c>
      <c r="D29" s="12" t="s">
        <v>16</v>
      </c>
      <c r="E29" s="16" t="s">
        <v>11</v>
      </c>
      <c r="F29" s="12" t="s">
        <v>36</v>
      </c>
      <c r="G29" s="12" t="s">
        <v>139</v>
      </c>
      <c r="H29" s="12" t="s">
        <v>140</v>
      </c>
      <c r="I29" s="12" t="s">
        <v>141</v>
      </c>
      <c r="J29" s="12" t="s">
        <v>40</v>
      </c>
      <c r="K29" s="12" t="s">
        <v>20</v>
      </c>
      <c r="L29" s="12"/>
    </row>
    <row r="30" customFormat="false" ht="15" hidden="false" customHeight="false" outlineLevel="0" collapsed="false">
      <c r="A30" s="11" t="n">
        <v>46356</v>
      </c>
      <c r="B30" s="12" t="s">
        <v>34</v>
      </c>
      <c r="C30" s="12" t="s">
        <v>142</v>
      </c>
      <c r="D30" s="12" t="s">
        <v>17</v>
      </c>
      <c r="E30" s="13" t="s">
        <v>5</v>
      </c>
      <c r="F30" s="12" t="s">
        <v>71</v>
      </c>
      <c r="G30" s="12" t="s">
        <v>143</v>
      </c>
      <c r="H30" s="12" t="s">
        <v>144</v>
      </c>
      <c r="I30" s="12" t="s">
        <v>145</v>
      </c>
      <c r="J30" s="12" t="s">
        <v>46</v>
      </c>
      <c r="K30" s="12" t="s">
        <v>20</v>
      </c>
      <c r="L30" s="12"/>
    </row>
    <row r="31" customFormat="false" ht="15" hidden="false" customHeight="false" outlineLevel="0" collapsed="false">
      <c r="A31" s="11" t="n">
        <v>46357</v>
      </c>
      <c r="B31" s="12" t="s">
        <v>41</v>
      </c>
      <c r="C31" s="12" t="s">
        <v>142</v>
      </c>
      <c r="D31" s="12" t="s">
        <v>16</v>
      </c>
      <c r="E31" s="17" t="s">
        <v>13</v>
      </c>
      <c r="F31" s="12" t="s">
        <v>48</v>
      </c>
      <c r="G31" s="12" t="s">
        <v>146</v>
      </c>
      <c r="H31" s="12" t="s">
        <v>147</v>
      </c>
      <c r="I31" s="12" t="s">
        <v>148</v>
      </c>
      <c r="J31" s="12" t="s">
        <v>40</v>
      </c>
      <c r="K31" s="12" t="s">
        <v>20</v>
      </c>
      <c r="L31" s="12"/>
    </row>
  </sheetData>
  <autoFilter ref="A1:L31"/>
  <conditionalFormatting sqref="K2:K31">
    <cfRule type="cellIs" priority="2" operator="equal" aboveAverage="0" equalAverage="0" bottom="0" percent="0" rank="0" text="" dxfId="9">
      <formula>"Posted"</formula>
    </cfRule>
    <cfRule type="cellIs" priority="3" operator="equal" aboveAverage="0" equalAverage="0" bottom="0" percent="0" rank="0" text="" dxfId="10">
      <formula>"Scheduled"</formula>
    </cfRule>
  </conditionalFormatting>
  <dataValidations count="1">
    <dataValidation allowBlank="false" errorStyle="stop" operator="between" showDropDown="false" showErrorMessage="false" showInputMessage="false" sqref="K2:K31" type="list">
      <formula1>"Planned,Drafted,Approved,Scheduled,Posted"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2026-10-05T10:37:22Z</dcterms:created>
  <dc:creator>openpyxl</dc:creator>
  <dc:description/>
  <dc:language>en-US</dc:language>
  <cp:lastModifiedBy/>
  <dcterms:modified xsi:type="dcterms:W3CDTF">2026-10-05T10:37:22Z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