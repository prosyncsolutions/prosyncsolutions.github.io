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tracted Data" sheetId="1" state="visible" r:id="rId3"/>
    <sheet name="Summary" sheetId="2" state="visible" r:id="rId4"/>
  </sheets>
  <definedNames>
    <definedName function="false" hidden="true" localSheetId="0" name="_xlnm._FilterDatabase" vbProcedure="false">'Extracted Data'!$A$1:$L$13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<sst xmlns="http://schemas.openxmlformats.org/spreadsheetml/2006/main" count="164" uniqueCount="122">
  <si>
    <t xml:space="preserve">Reference No</t>
  </si>
  <si>
    <t xml:space="preserve">Date Submitted</t>
  </si>
  <si>
    <t xml:space="preserve">Company Name</t>
  </si>
  <si>
    <t xml:space="preserve">Contact Person</t>
  </si>
  <si>
    <t xml:space="preserve">Email</t>
  </si>
  <si>
    <t xml:space="preserve">Phone</t>
  </si>
  <si>
    <t xml:space="preserve">Category</t>
  </si>
  <si>
    <t xml:space="preserve">Payment Terms</t>
  </si>
  <si>
    <t xml:space="preserve">Annual Turnover (USD)</t>
  </si>
  <si>
    <t xml:space="preserve">Tax Registered</t>
  </si>
  <si>
    <t xml:space="preserve">Review Flag</t>
  </si>
  <si>
    <t xml:space="preserve">Source File</t>
  </si>
  <si>
    <t xml:space="preserve">VR-2026-101</t>
  </si>
  <si>
    <t xml:space="preserve">2026-06-21</t>
  </si>
  <si>
    <t xml:space="preserve">Harbour Lane Supplies</t>
  </si>
  <si>
    <t xml:space="preserve">Amelia Hart</t>
  </si>
  <si>
    <t xml:space="preserve">amelia@harbourlanesup.example</t>
  </si>
  <si>
    <t xml:space="preserve">+27 51 254 7468</t>
  </si>
  <si>
    <t xml:space="preserve">Office Supplies</t>
  </si>
  <si>
    <t xml:space="preserve">30 days</t>
  </si>
  <si>
    <t xml:space="preserve">Yes</t>
  </si>
  <si>
    <t xml:space="preserve">OK</t>
  </si>
  <si>
    <t xml:space="preserve">vendor_form_01.pdf</t>
  </si>
  <si>
    <t xml:space="preserve">VR-2026-102</t>
  </si>
  <si>
    <t xml:space="preserve">2026-07-17</t>
  </si>
  <si>
    <t xml:space="preserve">Bluegum Packaging</t>
  </si>
  <si>
    <t xml:space="preserve">Daniel Okafor</t>
  </si>
  <si>
    <t xml:space="preserve">daniel@bluegumpackagi.example</t>
  </si>
  <si>
    <t xml:space="preserve">+27 56 696 1950</t>
  </si>
  <si>
    <t xml:space="preserve">Packaging</t>
  </si>
  <si>
    <t xml:space="preserve">No</t>
  </si>
  <si>
    <t xml:space="preserve">vendor_form_02.pdf</t>
  </si>
  <si>
    <t xml:space="preserve">VR-2026-103</t>
  </si>
  <si>
    <t xml:space="preserve">2026-09-03</t>
  </si>
  <si>
    <t xml:space="preserve">Northfield Logistics</t>
  </si>
  <si>
    <t xml:space="preserve">Priya Nair</t>
  </si>
  <si>
    <t xml:space="preserve">priya@northfieldlogi.example</t>
  </si>
  <si>
    <t xml:space="preserve">+27 63 171 4943</t>
  </si>
  <si>
    <t xml:space="preserve">Transport</t>
  </si>
  <si>
    <t xml:space="preserve">vendor_form_03.pdf</t>
  </si>
  <si>
    <t xml:space="preserve">VR-2026-104</t>
  </si>
  <si>
    <t xml:space="preserve">2026-09-19</t>
  </si>
  <si>
    <t xml:space="preserve">Kestrel Print Works</t>
  </si>
  <si>
    <t xml:space="preserve">Tom Becker</t>
  </si>
  <si>
    <t xml:space="preserve">tom@kestrelprintwo.example</t>
  </si>
  <si>
    <t xml:space="preserve">+27 38 745 2013</t>
  </si>
  <si>
    <t xml:space="preserve">Printing</t>
  </si>
  <si>
    <t xml:space="preserve">vendor_form_04.pdf</t>
  </si>
  <si>
    <t xml:space="preserve">VR-2026-105</t>
  </si>
  <si>
    <t xml:space="preserve">2026-09-10</t>
  </si>
  <si>
    <t xml:space="preserve">Saltwater Catering Co</t>
  </si>
  <si>
    <t xml:space="preserve">Lerato Dube</t>
  </si>
  <si>
    <t xml:space="preserve">lerato@saltwatercater.example</t>
  </si>
  <si>
    <t xml:space="preserve">+27 81 979 3181</t>
  </si>
  <si>
    <t xml:space="preserve">Catering</t>
  </si>
  <si>
    <t xml:space="preserve">14 days</t>
  </si>
  <si>
    <t xml:space="preserve">vendor_form_05.pdf</t>
  </si>
  <si>
    <t xml:space="preserve">VR-2026-106</t>
  </si>
  <si>
    <t xml:space="preserve">2026-07-04</t>
  </si>
  <si>
    <t xml:space="preserve">Ironbark Tools</t>
  </si>
  <si>
    <t xml:space="preserve">Sofia Marino</t>
  </si>
  <si>
    <t xml:space="preserve">sofia@ironbarktools.example</t>
  </si>
  <si>
    <t xml:space="preserve">+27 83 415 3961</t>
  </si>
  <si>
    <t xml:space="preserve">Hardware</t>
  </si>
  <si>
    <t xml:space="preserve">60 days</t>
  </si>
  <si>
    <t xml:space="preserve">vendor_form_06.pdf</t>
  </si>
  <si>
    <t xml:space="preserve">VR-2026-107</t>
  </si>
  <si>
    <t xml:space="preserve">2026-09-16</t>
  </si>
  <si>
    <t xml:space="preserve">Maple &amp; Finch Stationery</t>
  </si>
  <si>
    <t xml:space="preserve">James Whitlock</t>
  </si>
  <si>
    <t xml:space="preserve">james@maplefinchstat.example</t>
  </si>
  <si>
    <t xml:space="preserve">+27 82 161 4374</t>
  </si>
  <si>
    <t xml:space="preserve">vendor_form_07.pdf</t>
  </si>
  <si>
    <t xml:space="preserve">VR-2026-108</t>
  </si>
  <si>
    <t xml:space="preserve">2026-07-26</t>
  </si>
  <si>
    <t xml:space="preserve">Redstone Electrical</t>
  </si>
  <si>
    <t xml:space="preserve">Hannah Kruger</t>
  </si>
  <si>
    <t xml:space="preserve">hannah@redstoneelectr.example</t>
  </si>
  <si>
    <t xml:space="preserve">+27 56 406 5070</t>
  </si>
  <si>
    <t xml:space="preserve">Electrical</t>
  </si>
  <si>
    <t xml:space="preserve">vendor_form_08.pdf</t>
  </si>
  <si>
    <t xml:space="preserve">VR-2026-109</t>
  </si>
  <si>
    <t xml:space="preserve">2026-09-24</t>
  </si>
  <si>
    <t xml:space="preserve">Willowbrook Cleaning</t>
  </si>
  <si>
    <t xml:space="preserve">Marcus Lee</t>
  </si>
  <si>
    <t xml:space="preserve">+27 77 606 6627</t>
  </si>
  <si>
    <t xml:space="preserve">Cleaning</t>
  </si>
  <si>
    <t xml:space="preserve">Email missing</t>
  </si>
  <si>
    <t xml:space="preserve">vendor_form_09.pdf</t>
  </si>
  <si>
    <t xml:space="preserve">VR-2026-110</t>
  </si>
  <si>
    <t xml:space="preserve">2026-08-06</t>
  </si>
  <si>
    <t xml:space="preserve">Summit Office Furniture</t>
  </si>
  <si>
    <t xml:space="preserve">Nomsa Zulu</t>
  </si>
  <si>
    <t xml:space="preserve">nomsa@summitofficefu.example</t>
  </si>
  <si>
    <t xml:space="preserve">+27 25 624 7850</t>
  </si>
  <si>
    <t xml:space="preserve">Furniture</t>
  </si>
  <si>
    <t xml:space="preserve">vendor_form_10.pdf</t>
  </si>
  <si>
    <t xml:space="preserve">VR-2026-111</t>
  </si>
  <si>
    <t xml:space="preserve">2026-08-25</t>
  </si>
  <si>
    <t xml:space="preserve">Fernhill Fresh Produce</t>
  </si>
  <si>
    <t xml:space="preserve">Olivia Grant</t>
  </si>
  <si>
    <t xml:space="preserve">olivia@fernhillfreshp.example</t>
  </si>
  <si>
    <t xml:space="preserve">+27 15 784 2271</t>
  </si>
  <si>
    <t xml:space="preserve">vendor_form_11.pdf</t>
  </si>
  <si>
    <t xml:space="preserve">VR-2026-112</t>
  </si>
  <si>
    <t xml:space="preserve">2026-06-03</t>
  </si>
  <si>
    <t xml:space="preserve">Copperline Plumbing</t>
  </si>
  <si>
    <t xml:space="preserve">Peter Novak</t>
  </si>
  <si>
    <t xml:space="preserve">peter@copperlineplum.example</t>
  </si>
  <si>
    <t xml:space="preserve">+27 86 608 8474</t>
  </si>
  <si>
    <t xml:space="preserve">Plumbing</t>
  </si>
  <si>
    <t xml:space="preserve">vendor_form_12.pdf</t>
  </si>
  <si>
    <t xml:space="preserve">Extraction Summary</t>
  </si>
  <si>
    <t xml:space="preserve">Sample project - fictional data</t>
  </si>
  <si>
    <t xml:space="preserve">Forms processed</t>
  </si>
  <si>
    <t xml:space="preserve">Clean records</t>
  </si>
  <si>
    <t xml:space="preserve">Records needing review</t>
  </si>
  <si>
    <t xml:space="preserve">Total annual turnover (USD)</t>
  </si>
  <si>
    <t xml:space="preserve">Average turnover (USD)</t>
  </si>
  <si>
    <t xml:space="preserve">Vendors by category</t>
  </si>
  <si>
    <t xml:space="preserve">Vendors</t>
  </si>
  <si>
    <t xml:space="preserve">Turnover (USD)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</si>
</sst>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27"/>
    <col collapsed="false" customWidth="true" hidden="false" outlineLevel="0" max="4" min="4" style="0" width="17"/>
    <col collapsed="false" customWidth="true" hidden="false" outlineLevel="0" max="5" min="5" style="0" width="32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2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n">
        <v>880000</v>
      </c>
      <c r="J2" s="2" t="s">
        <v>20</v>
      </c>
      <c r="K2" s="2" t="s">
        <v>21</v>
      </c>
      <c r="L2" s="2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19</v>
      </c>
      <c r="I3" s="3" t="n">
        <v>128000</v>
      </c>
      <c r="J3" s="2" t="s">
        <v>30</v>
      </c>
      <c r="K3" s="2" t="s">
        <v>21</v>
      </c>
      <c r="L3" s="2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19</v>
      </c>
      <c r="I4" s="3" t="n">
        <v>886000</v>
      </c>
      <c r="J4" s="2" t="s">
        <v>20</v>
      </c>
      <c r="K4" s="2" t="s">
        <v>21</v>
      </c>
      <c r="L4" s="2" t="s">
        <v>39</v>
      </c>
    </row>
    <row r="5" customFormat="false" ht="15" hidden="false" customHeight="fals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19</v>
      </c>
      <c r="I5" s="3" t="n">
        <v>266000</v>
      </c>
      <c r="J5" s="2" t="s">
        <v>20</v>
      </c>
      <c r="K5" s="2" t="s">
        <v>21</v>
      </c>
      <c r="L5" s="2" t="s">
        <v>47</v>
      </c>
    </row>
    <row r="6" customFormat="false" ht="15" hidden="false" customHeight="false" outlineLevel="0" collapsed="false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3" t="n">
        <v>593000</v>
      </c>
      <c r="J6" s="2" t="s">
        <v>20</v>
      </c>
      <c r="K6" s="2" t="s">
        <v>21</v>
      </c>
      <c r="L6" s="2" t="s">
        <v>56</v>
      </c>
    </row>
    <row r="7" customFormat="false" ht="15" hidden="false" customHeight="false" outlineLevel="0" collapsed="false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3" t="n">
        <v>139000</v>
      </c>
      <c r="J7" s="2" t="s">
        <v>20</v>
      </c>
      <c r="K7" s="2" t="s">
        <v>21</v>
      </c>
      <c r="L7" s="2" t="s">
        <v>65</v>
      </c>
    </row>
    <row r="8" customFormat="false" ht="15" hidden="false" customHeight="false" outlineLevel="0" collapsed="false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18</v>
      </c>
      <c r="H8" s="2" t="s">
        <v>64</v>
      </c>
      <c r="I8" s="3" t="n">
        <v>516000</v>
      </c>
      <c r="J8" s="2" t="s">
        <v>30</v>
      </c>
      <c r="K8" s="2" t="s">
        <v>21</v>
      </c>
      <c r="L8" s="2" t="s">
        <v>72</v>
      </c>
    </row>
    <row r="9" customFormat="false" ht="15" hidden="false" customHeight="false" outlineLevel="0" collapsed="false">
      <c r="A9" s="2" t="s">
        <v>73</v>
      </c>
      <c r="B9" s="2" t="s">
        <v>74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79</v>
      </c>
      <c r="H9" s="2" t="s">
        <v>55</v>
      </c>
      <c r="I9" s="3" t="n">
        <v>123000</v>
      </c>
      <c r="J9" s="2" t="s">
        <v>30</v>
      </c>
      <c r="K9" s="2" t="s">
        <v>21</v>
      </c>
      <c r="L9" s="2" t="s">
        <v>80</v>
      </c>
    </row>
    <row r="10" customFormat="false" ht="15" hidden="false" customHeight="false" outlineLevel="0" collapsed="false">
      <c r="A10" s="4" t="s">
        <v>81</v>
      </c>
      <c r="B10" s="4" t="s">
        <v>82</v>
      </c>
      <c r="C10" s="4" t="s">
        <v>83</v>
      </c>
      <c r="D10" s="4" t="s">
        <v>84</v>
      </c>
      <c r="E10" s="4"/>
      <c r="F10" s="4" t="s">
        <v>85</v>
      </c>
      <c r="G10" s="4" t="s">
        <v>86</v>
      </c>
      <c r="H10" s="4" t="s">
        <v>64</v>
      </c>
      <c r="I10" s="5" t="n">
        <v>663000</v>
      </c>
      <c r="J10" s="4" t="s">
        <v>20</v>
      </c>
      <c r="K10" s="4" t="s">
        <v>87</v>
      </c>
      <c r="L10" s="4" t="s">
        <v>88</v>
      </c>
    </row>
    <row r="11" customFormat="false" ht="15" hidden="false" customHeight="false" outlineLevel="0" collapsed="false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55</v>
      </c>
      <c r="I11" s="3" t="n">
        <v>540000</v>
      </c>
      <c r="J11" s="2" t="s">
        <v>30</v>
      </c>
      <c r="K11" s="2" t="s">
        <v>21</v>
      </c>
      <c r="L11" s="2" t="s">
        <v>96</v>
      </c>
    </row>
    <row r="12" customFormat="false" ht="15" hidden="false" customHeight="false" outlineLevel="0" collapsed="false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54</v>
      </c>
      <c r="H12" s="2" t="s">
        <v>64</v>
      </c>
      <c r="I12" s="3" t="n">
        <v>751000</v>
      </c>
      <c r="J12" s="2" t="s">
        <v>30</v>
      </c>
      <c r="K12" s="2" t="s">
        <v>21</v>
      </c>
      <c r="L12" s="2" t="s">
        <v>103</v>
      </c>
    </row>
    <row r="13" customFormat="false" ht="15" hidden="false" customHeight="false" outlineLevel="0" collapsed="false">
      <c r="A13" s="2" t="s">
        <v>104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109</v>
      </c>
      <c r="G13" s="2" t="s">
        <v>110</v>
      </c>
      <c r="H13" s="2" t="s">
        <v>64</v>
      </c>
      <c r="I13" s="3" t="n">
        <v>525000</v>
      </c>
      <c r="J13" s="2" t="s">
        <v>20</v>
      </c>
      <c r="K13" s="2" t="s">
        <v>21</v>
      </c>
      <c r="L13" s="2" t="s">
        <v>111</v>
      </c>
    </row>
  </sheetData>
  <autoFilter ref="A1:L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6" t="s">
        <v>112</v>
      </c>
    </row>
    <row r="2" customFormat="false" ht="15" hidden="false" customHeight="false" outlineLevel="0" collapsed="false">
      <c r="A2" s="7" t="s">
        <v>113</v>
      </c>
    </row>
    <row r="4" customFormat="false" ht="15" hidden="false" customHeight="false" outlineLevel="0" collapsed="false">
      <c r="A4" s="0" t="s">
        <v>114</v>
      </c>
      <c r="B4" s="8" t="n">
        <f aca="false">COUNTA('Extracted Data'!A2:A13)</f>
        <v>12</v>
      </c>
    </row>
    <row r="5" customFormat="false" ht="15" hidden="false" customHeight="false" outlineLevel="0" collapsed="false">
      <c r="A5" s="0" t="s">
        <v>115</v>
      </c>
      <c r="B5" s="8" t="n">
        <f aca="false">COUNTIF('Extracted Data'!K2:K13,"OK")</f>
        <v>11</v>
      </c>
    </row>
    <row r="6" customFormat="false" ht="15" hidden="false" customHeight="false" outlineLevel="0" collapsed="false">
      <c r="A6" s="0" t="s">
        <v>116</v>
      </c>
      <c r="B6" s="8" t="n">
        <f aca="false">B4-B5</f>
        <v>1</v>
      </c>
    </row>
    <row r="7" customFormat="false" ht="15" hidden="false" customHeight="false" outlineLevel="0" collapsed="false">
      <c r="A7" s="0" t="s">
        <v>117</v>
      </c>
      <c r="B7" s="8" t="n">
        <f aca="false">SUM('Extracted Data'!I2:I13)</f>
        <v>6010000</v>
      </c>
    </row>
    <row r="8" customFormat="false" ht="15" hidden="false" customHeight="false" outlineLevel="0" collapsed="false">
      <c r="A8" s="0" t="s">
        <v>118</v>
      </c>
      <c r="B8" s="8" t="n">
        <f aca="false">AVERAGE('Extracted Data'!I2:I13)</f>
        <v>500833.333333333</v>
      </c>
    </row>
    <row r="11" customFormat="false" ht="15" hidden="false" customHeight="false" outlineLevel="0" collapsed="false">
      <c r="A11" s="9" t="s">
        <v>119</v>
      </c>
    </row>
    <row r="12" customFormat="false" ht="15" hidden="false" customHeight="false" outlineLevel="0" collapsed="false">
      <c r="A12" s="10" t="s">
        <v>6</v>
      </c>
      <c r="B12" s="10" t="s">
        <v>120</v>
      </c>
      <c r="C12" s="10" t="s">
        <v>121</v>
      </c>
    </row>
    <row r="13" customFormat="false" ht="15" hidden="false" customHeight="false" outlineLevel="0" collapsed="false">
      <c r="A13" s="0" t="s">
        <v>54</v>
      </c>
      <c r="B13" s="0" t="n">
        <f aca="false">COUNTIF('Extracted Data'!G2:G13,A13)</f>
        <v>2</v>
      </c>
      <c r="C13" s="8" t="n">
        <f aca="false">SUMIF('Extracted Data'!G2:G13,A13,'Extracted Data'!I2:I13)</f>
        <v>1344000</v>
      </c>
    </row>
    <row r="14" customFormat="false" ht="15" hidden="false" customHeight="false" outlineLevel="0" collapsed="false">
      <c r="A14" s="0" t="s">
        <v>86</v>
      </c>
      <c r="B14" s="0" t="n">
        <f aca="false">COUNTIF('Extracted Data'!G2:G13,A14)</f>
        <v>1</v>
      </c>
      <c r="C14" s="8" t="n">
        <f aca="false">SUMIF('Extracted Data'!G2:G13,A14,'Extracted Data'!I2:I13)</f>
        <v>663000</v>
      </c>
    </row>
    <row r="15" customFormat="false" ht="15" hidden="false" customHeight="false" outlineLevel="0" collapsed="false">
      <c r="A15" s="0" t="s">
        <v>79</v>
      </c>
      <c r="B15" s="0" t="n">
        <f aca="false">COUNTIF('Extracted Data'!G2:G13,A15)</f>
        <v>1</v>
      </c>
      <c r="C15" s="8" t="n">
        <f aca="false">SUMIF('Extracted Data'!G2:G13,A15,'Extracted Data'!I2:I13)</f>
        <v>123000</v>
      </c>
    </row>
    <row r="16" customFormat="false" ht="15" hidden="false" customHeight="false" outlineLevel="0" collapsed="false">
      <c r="A16" s="0" t="s">
        <v>95</v>
      </c>
      <c r="B16" s="0" t="n">
        <f aca="false">COUNTIF('Extracted Data'!G2:G13,A16)</f>
        <v>1</v>
      </c>
      <c r="C16" s="8" t="n">
        <f aca="false">SUMIF('Extracted Data'!G2:G13,A16,'Extracted Data'!I2:I13)</f>
        <v>540000</v>
      </c>
    </row>
    <row r="17" customFormat="false" ht="15" hidden="false" customHeight="false" outlineLevel="0" collapsed="false">
      <c r="A17" s="0" t="s">
        <v>63</v>
      </c>
      <c r="B17" s="0" t="n">
        <f aca="false">COUNTIF('Extracted Data'!G2:G13,A17)</f>
        <v>1</v>
      </c>
      <c r="C17" s="8" t="n">
        <f aca="false">SUMIF('Extracted Data'!G2:G13,A17,'Extracted Data'!I2:I13)</f>
        <v>139000</v>
      </c>
    </row>
    <row r="18" customFormat="false" ht="15" hidden="false" customHeight="false" outlineLevel="0" collapsed="false">
      <c r="A18" s="0" t="s">
        <v>18</v>
      </c>
      <c r="B18" s="0" t="n">
        <f aca="false">COUNTIF('Extracted Data'!G2:G13,A18)</f>
        <v>2</v>
      </c>
      <c r="C18" s="8" t="n">
        <f aca="false">SUMIF('Extracted Data'!G2:G13,A18,'Extracted Data'!I2:I13)</f>
        <v>1396000</v>
      </c>
    </row>
    <row r="19" customFormat="false" ht="15" hidden="false" customHeight="false" outlineLevel="0" collapsed="false">
      <c r="A19" s="0" t="s">
        <v>29</v>
      </c>
      <c r="B19" s="0" t="n">
        <f aca="false">COUNTIF('Extracted Data'!G2:G13,A19)</f>
        <v>1</v>
      </c>
      <c r="C19" s="8" t="n">
        <f aca="false">SUMIF('Extracted Data'!G2:G13,A19,'Extracted Data'!I2:I13)</f>
        <v>128000</v>
      </c>
    </row>
    <row r="20" customFormat="false" ht="15" hidden="false" customHeight="false" outlineLevel="0" collapsed="false">
      <c r="A20" s="0" t="s">
        <v>110</v>
      </c>
      <c r="B20" s="0" t="n">
        <f aca="false">COUNTIF('Extracted Data'!G2:G13,A20)</f>
        <v>1</v>
      </c>
      <c r="C20" s="8" t="n">
        <f aca="false">SUMIF('Extracted Data'!G2:G13,A20,'Extracted Data'!I2:I13)</f>
        <v>525000</v>
      </c>
    </row>
    <row r="21" customFormat="false" ht="15" hidden="false" customHeight="false" outlineLevel="0" collapsed="false">
      <c r="A21" s="0" t="s">
        <v>46</v>
      </c>
      <c r="B21" s="0" t="n">
        <f aca="false">COUNTIF('Extracted Data'!G2:G13,A21)</f>
        <v>1</v>
      </c>
      <c r="C21" s="8" t="n">
        <f aca="false">SUMIF('Extracted Data'!G2:G13,A21,'Extracted Data'!I2:I13)</f>
        <v>266000</v>
      </c>
    </row>
    <row r="22" customFormat="false" ht="15" hidden="false" customHeight="false" outlineLevel="0" collapsed="false">
      <c r="A22" s="0" t="s">
        <v>38</v>
      </c>
      <c r="B22" s="0" t="n">
        <f aca="false">COUNTIF('Extracted Data'!G2:G13,A22)</f>
        <v>1</v>
      </c>
      <c r="C22" s="8" t="n">
        <f aca="false">SUMIF('Extracted Data'!G2:G13,A22,'Extracted Data'!I2:I13)</f>
        <v>886000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2026-10-05T10:23:28Z</dcterms:created>
  <dc:creator>openpyxl</dc:creator>
  <dc:description/>
  <dc:language>en-US</dc:language>
  <cp:lastModifiedBy/>
  <dcterms:modified xsi:type="dcterms:W3CDTF">2026-10-05T10:23:28Z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